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Silvicultura\01. SP\PESSOAS\Giovani Maciel\Gdocs\001.Databases\"/>
    </mc:Choice>
  </mc:AlternateContent>
  <xr:revisionPtr revIDLastSave="0" documentId="13_ncr:1_{44CB1E00-D6D1-4D63-926B-AAF04264B358}" xr6:coauthVersionLast="36" xr6:coauthVersionMax="36" xr10:uidLastSave="{00000000-0000-0000-0000-000000000000}"/>
  <bookViews>
    <workbookView xWindow="0" yWindow="0" windowWidth="21570" windowHeight="7980" activeTab="4" xr2:uid="{46F7D2DD-D9A5-4486-9640-EC801220C029}"/>
  </bookViews>
  <sheets>
    <sheet name="TOTAL (PRANCHA)" sheetId="10" r:id="rId1"/>
    <sheet name="Planilha3" sheetId="18" r:id="rId2"/>
    <sheet name="Sheet1" sheetId="5" r:id="rId3"/>
    <sheet name="Planilha7" sheetId="22" r:id="rId4"/>
    <sheet name="Sheet1 (2)" sheetId="21" r:id="rId5"/>
    <sheet name="Planilha2" sheetId="7" r:id="rId6"/>
    <sheet name="Planilha1" sheetId="6" r:id="rId7"/>
  </sheets>
  <calcPr calcId="191029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67" i="21" l="1"/>
  <c r="S66" i="21"/>
  <c r="S65" i="21"/>
  <c r="S64" i="21"/>
  <c r="S63" i="21"/>
  <c r="S62" i="21"/>
  <c r="S61" i="21"/>
  <c r="S60" i="21"/>
  <c r="S59" i="21"/>
  <c r="S58" i="21"/>
  <c r="S57" i="21"/>
  <c r="S56" i="21"/>
  <c r="S55" i="21"/>
  <c r="S54" i="21"/>
  <c r="S53" i="21"/>
  <c r="S52" i="21"/>
  <c r="S51" i="21"/>
  <c r="S50" i="21"/>
  <c r="S49" i="21"/>
  <c r="S48" i="21"/>
  <c r="S47" i="21"/>
  <c r="S46" i="21"/>
  <c r="S45" i="21"/>
  <c r="S44" i="21"/>
  <c r="S43" i="21"/>
  <c r="S42" i="21"/>
  <c r="S41" i="21"/>
  <c r="S40" i="21"/>
  <c r="S39" i="21"/>
  <c r="S38" i="21"/>
  <c r="S37" i="21"/>
  <c r="S36" i="21"/>
  <c r="S35" i="21"/>
  <c r="S34" i="21"/>
  <c r="S33" i="21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863" i="5"/>
  <c r="S861" i="5"/>
  <c r="S862" i="5"/>
  <c r="S854" i="5"/>
  <c r="S855" i="5"/>
  <c r="S856" i="5"/>
  <c r="S857" i="5"/>
  <c r="S858" i="5"/>
  <c r="S859" i="5"/>
  <c r="S860" i="5"/>
  <c r="S850" i="5"/>
  <c r="S851" i="5"/>
  <c r="S852" i="5"/>
  <c r="S853" i="5"/>
  <c r="S846" i="5"/>
  <c r="S847" i="5"/>
  <c r="S848" i="5"/>
  <c r="S849" i="5"/>
  <c r="S841" i="5"/>
  <c r="S842" i="5"/>
  <c r="S843" i="5"/>
  <c r="S844" i="5"/>
  <c r="S845" i="5"/>
  <c r="S830" i="5"/>
  <c r="S831" i="5"/>
  <c r="S832" i="5"/>
  <c r="S833" i="5"/>
  <c r="S834" i="5"/>
  <c r="S835" i="5"/>
  <c r="S836" i="5"/>
  <c r="S837" i="5"/>
  <c r="S838" i="5"/>
  <c r="S839" i="5"/>
  <c r="S840" i="5"/>
  <c r="S819" i="5"/>
  <c r="S820" i="5"/>
  <c r="S821" i="5"/>
  <c r="S822" i="5"/>
  <c r="S823" i="5"/>
  <c r="S824" i="5"/>
  <c r="S825" i="5"/>
  <c r="S826" i="5"/>
  <c r="S827" i="5"/>
  <c r="S828" i="5"/>
  <c r="S829" i="5"/>
  <c r="S817" i="5"/>
  <c r="S818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68" i="21" l="1"/>
  <c r="S737" i="5"/>
  <c r="S800" i="5" l="1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721" i="5" l="1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685" i="5" l="1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684" i="5" l="1"/>
  <c r="S663" i="5" l="1"/>
  <c r="S680" i="5"/>
  <c r="S681" i="5"/>
  <c r="S682" i="5" l="1"/>
  <c r="S683" i="5"/>
  <c r="S664" i="5" l="1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62" i="5" l="1"/>
  <c r="S660" i="5"/>
  <c r="S661" i="5"/>
  <c r="S657" i="5" l="1"/>
  <c r="S658" i="5"/>
  <c r="S659" i="5"/>
  <c r="S654" i="5" l="1"/>
  <c r="S655" i="5"/>
  <c r="S656" i="5"/>
  <c r="S643" i="5" l="1"/>
  <c r="S644" i="5"/>
  <c r="S645" i="5"/>
  <c r="S646" i="5"/>
  <c r="S647" i="5"/>
  <c r="S648" i="5"/>
  <c r="S649" i="5"/>
  <c r="S650" i="5"/>
  <c r="S651" i="5"/>
  <c r="S652" i="5"/>
  <c r="S653" i="5"/>
  <c r="S631" i="5" l="1"/>
  <c r="S632" i="5"/>
  <c r="S633" i="5"/>
  <c r="S634" i="5"/>
  <c r="S635" i="5"/>
  <c r="S636" i="5"/>
  <c r="S637" i="5"/>
  <c r="S638" i="5"/>
  <c r="S639" i="5"/>
  <c r="S640" i="5"/>
  <c r="S641" i="5"/>
  <c r="S642" i="5"/>
  <c r="S629" i="5" l="1"/>
  <c r="S630" i="5"/>
  <c r="S627" i="5"/>
  <c r="S628" i="5"/>
  <c r="S609" i="5" l="1"/>
  <c r="S610" i="5"/>
  <c r="S611" i="5" l="1"/>
  <c r="S612" i="5"/>
  <c r="S608" i="5"/>
  <c r="S625" i="5" l="1"/>
  <c r="S626" i="5"/>
  <c r="S613" i="5" l="1"/>
  <c r="S614" i="5"/>
  <c r="S615" i="5"/>
  <c r="S616" i="5"/>
  <c r="S617" i="5"/>
  <c r="S618" i="5"/>
  <c r="S619" i="5"/>
  <c r="S620" i="5"/>
  <c r="S621" i="5"/>
  <c r="S622" i="5"/>
  <c r="S623" i="5"/>
  <c r="S624" i="5"/>
  <c r="S603" i="5" l="1"/>
  <c r="S604" i="5"/>
  <c r="S605" i="5"/>
  <c r="S606" i="5"/>
  <c r="S607" i="5"/>
  <c r="S601" i="5" l="1"/>
  <c r="S602" i="5"/>
  <c r="S600" i="5" l="1"/>
  <c r="S590" i="5"/>
  <c r="S567" i="5" l="1"/>
  <c r="S578" i="5" l="1"/>
  <c r="S579" i="5"/>
  <c r="S580" i="5"/>
  <c r="S581" i="5"/>
  <c r="S582" i="5"/>
  <c r="S583" i="5"/>
  <c r="S584" i="5"/>
  <c r="S585" i="5"/>
  <c r="S586" i="5"/>
  <c r="S587" i="5"/>
  <c r="S588" i="5"/>
  <c r="S589" i="5"/>
  <c r="S591" i="5"/>
  <c r="S592" i="5"/>
  <c r="S593" i="5"/>
  <c r="S594" i="5"/>
  <c r="S595" i="5"/>
  <c r="S577" i="5"/>
  <c r="S596" i="5" l="1"/>
  <c r="S597" i="5"/>
  <c r="S598" i="5"/>
  <c r="S599" i="5"/>
  <c r="S575" i="5"/>
  <c r="S576" i="5"/>
  <c r="S394" i="5" l="1"/>
  <c r="S395" i="5"/>
  <c r="S393" i="5"/>
  <c r="S516" i="5" l="1"/>
  <c r="S441" i="5" l="1"/>
  <c r="S442" i="5"/>
  <c r="S443" i="5"/>
  <c r="S444" i="5"/>
  <c r="S445" i="5"/>
  <c r="S565" i="5" l="1"/>
  <c r="S566" i="5"/>
  <c r="S568" i="5"/>
  <c r="S569" i="5"/>
  <c r="S570" i="5"/>
  <c r="S571" i="5"/>
  <c r="S572" i="5"/>
  <c r="S573" i="5"/>
  <c r="S574" i="5"/>
  <c r="S548" i="5" l="1"/>
  <c r="S557" i="5" l="1"/>
  <c r="S558" i="5"/>
  <c r="S559" i="5"/>
  <c r="S560" i="5"/>
  <c r="S561" i="5"/>
  <c r="S562" i="5"/>
  <c r="S563" i="5"/>
  <c r="S564" i="5"/>
  <c r="S537" i="5" l="1"/>
  <c r="S538" i="5"/>
  <c r="S539" i="5"/>
  <c r="S540" i="5"/>
  <c r="S541" i="5"/>
  <c r="S542" i="5"/>
  <c r="S543" i="5"/>
  <c r="S544" i="5"/>
  <c r="S545" i="5"/>
  <c r="S546" i="5"/>
  <c r="S547" i="5"/>
  <c r="S549" i="5"/>
  <c r="S550" i="5"/>
  <c r="S551" i="5"/>
  <c r="S552" i="5"/>
  <c r="S553" i="5"/>
  <c r="S554" i="5"/>
  <c r="S555" i="5"/>
  <c r="S536" i="5"/>
  <c r="S531" i="5"/>
  <c r="S532" i="5"/>
  <c r="S533" i="5"/>
  <c r="S534" i="5"/>
  <c r="S535" i="5"/>
  <c r="S520" i="5"/>
  <c r="S521" i="5"/>
  <c r="S522" i="5"/>
  <c r="S523" i="5"/>
  <c r="S524" i="5"/>
  <c r="S525" i="5"/>
  <c r="S526" i="5"/>
  <c r="S527" i="5"/>
  <c r="S528" i="5"/>
  <c r="S529" i="5"/>
  <c r="S530" i="5"/>
  <c r="S517" i="5"/>
  <c r="S518" i="5"/>
  <c r="S519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486" i="5"/>
  <c r="S487" i="5"/>
  <c r="S462" i="5" l="1"/>
  <c r="S463" i="5"/>
  <c r="S464" i="5"/>
  <c r="S465" i="5"/>
  <c r="S466" i="5"/>
  <c r="S467" i="5"/>
  <c r="S468" i="5"/>
  <c r="S469" i="5"/>
  <c r="S470" i="5"/>
  <c r="S471" i="5"/>
  <c r="S472" i="5"/>
  <c r="S473" i="5"/>
  <c r="S484" i="5"/>
  <c r="S485" i="5"/>
  <c r="S474" i="5"/>
  <c r="S475" i="5"/>
  <c r="S476" i="5"/>
  <c r="S477" i="5"/>
  <c r="S478" i="5"/>
  <c r="S479" i="5"/>
  <c r="S480" i="5"/>
  <c r="S481" i="5"/>
  <c r="S482" i="5"/>
  <c r="S483" i="5"/>
  <c r="S398" i="5" l="1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397" i="5"/>
  <c r="S396" i="5" l="1"/>
  <c r="S390" i="5" l="1"/>
  <c r="S391" i="5"/>
  <c r="S392" i="5"/>
  <c r="S389" i="5" l="1"/>
  <c r="S387" i="5"/>
  <c r="S388" i="5"/>
  <c r="S375" i="5" l="1"/>
  <c r="S376" i="5"/>
  <c r="S377" i="5"/>
  <c r="S378" i="5"/>
  <c r="S379" i="5"/>
  <c r="S380" i="5"/>
  <c r="S381" i="5"/>
  <c r="S382" i="5"/>
  <c r="S383" i="5"/>
  <c r="S384" i="5"/>
  <c r="S385" i="5"/>
  <c r="S386" i="5"/>
  <c r="S371" i="5" l="1"/>
  <c r="S372" i="5"/>
  <c r="S373" i="5"/>
  <c r="S374" i="5"/>
  <c r="S367" i="5" l="1"/>
  <c r="S368" i="5"/>
  <c r="S369" i="5"/>
  <c r="S370" i="5"/>
  <c r="S362" i="5" l="1"/>
  <c r="S363" i="5"/>
  <c r="S364" i="5"/>
  <c r="S365" i="5"/>
  <c r="S366" i="5"/>
  <c r="S361" i="5" l="1"/>
  <c r="S357" i="5"/>
  <c r="S358" i="5"/>
  <c r="S359" i="5"/>
  <c r="S360" i="5"/>
  <c r="S353" i="5" l="1"/>
  <c r="S350" i="5"/>
  <c r="S347" i="5"/>
  <c r="S342" i="5" l="1"/>
  <c r="S343" i="5"/>
  <c r="S345" i="5"/>
  <c r="S346" i="5"/>
  <c r="S348" i="5"/>
  <c r="S349" i="5"/>
  <c r="S351" i="5"/>
  <c r="S352" i="5"/>
  <c r="S354" i="5"/>
  <c r="S355" i="5"/>
  <c r="S356" i="5"/>
  <c r="S313" i="5" l="1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12" i="5"/>
  <c r="S864" i="5" l="1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</calcChain>
</file>

<file path=xl/sharedStrings.xml><?xml version="1.0" encoding="utf-8"?>
<sst xmlns="http://schemas.openxmlformats.org/spreadsheetml/2006/main" count="7790" uniqueCount="699">
  <si>
    <t>ID</t>
  </si>
  <si>
    <t>DATE</t>
  </si>
  <si>
    <t>REF</t>
  </si>
  <si>
    <t>CLASSIFICATION</t>
  </si>
  <si>
    <t>RESPONSIBLE</t>
  </si>
  <si>
    <t>PROVIDER</t>
  </si>
  <si>
    <t>COD SAP</t>
  </si>
  <si>
    <t>DESCRIPTION</t>
  </si>
  <si>
    <t>OBSERVATION</t>
  </si>
  <si>
    <t>CENTER</t>
  </si>
  <si>
    <t>CITY</t>
  </si>
  <si>
    <t>DEPOSIT</t>
  </si>
  <si>
    <t>COST CENTER</t>
  </si>
  <si>
    <t>RC</t>
  </si>
  <si>
    <t>QTD</t>
  </si>
  <si>
    <t>UNID</t>
  </si>
  <si>
    <t>VALUE</t>
  </si>
  <si>
    <t>TOTAL</t>
  </si>
  <si>
    <t>PRANCHA/MUNCK</t>
  </si>
  <si>
    <t>DENILSON FERNANDES</t>
  </si>
  <si>
    <t>00000000 - SGF EMFLORA</t>
  </si>
  <si>
    <t>0000000</t>
  </si>
  <si>
    <t>SERVIÇOS APONTADOS NO SGF</t>
  </si>
  <si>
    <t>APONTAMENTOS REALIZADOS NO SGF POR DIÁRIA DE TRUCK</t>
  </si>
  <si>
    <t>0000</t>
  </si>
  <si>
    <t>00000000</t>
  </si>
  <si>
    <t>UA</t>
  </si>
  <si>
    <t>FRETE PRANCHA</t>
  </si>
  <si>
    <t>CLAUDEMIR MEDEIROS</t>
  </si>
  <si>
    <t>10132182 - MV FLORIANO</t>
  </si>
  <si>
    <t>SERV FRETE CAMINHAO PRANCHA AGRIC</t>
  </si>
  <si>
    <t>FRETE PEDERNAIRAS PARA DUARTINA (MAQUINA JM DESTOCA)</t>
  </si>
  <si>
    <t>PIRATININGA</t>
  </si>
  <si>
    <t>0176</t>
  </si>
  <si>
    <t>KM</t>
  </si>
  <si>
    <t>FRANQUIA</t>
  </si>
  <si>
    <t>AGUARDANDO CARREGAMENTOPEDERNAIRAS PARA DUARTINA (MAQUINA JM DESTOCA)</t>
  </si>
  <si>
    <t>FELIPE GIROTO</t>
  </si>
  <si>
    <t>FRETE PORTO FELIZ PARA FAZ OITO PONTAS (PROJETO DO, PLANTADEIRA)</t>
  </si>
  <si>
    <t>ANHEMBI</t>
  </si>
  <si>
    <t>0420</t>
  </si>
  <si>
    <t>PEDAGIO</t>
  </si>
  <si>
    <t>SERV DESP PEDAGIO</t>
  </si>
  <si>
    <t>PEDAGIO PORTO FELIZ PARA FAZ OITO PONTAS  (PROJETO DO, PLANTADEIRA)</t>
  </si>
  <si>
    <t>AGUARDANDO CARREGAMENTO PORTO FELIZ PARA FAZ OITO PONTAS  (PROJETO DO, PLANTADEIRA)</t>
  </si>
  <si>
    <t>REEMBOLSO</t>
  </si>
  <si>
    <t>ADM VERIFICAR</t>
  </si>
  <si>
    <t>REEMBOLSO AVARIAS FRETE PORTO FELIZ PARA FAZ OITO PONTAS  (PROJETO DO, PLANTADEIRA)</t>
  </si>
  <si>
    <t>FRETE FAZ MONTE LIBANO PARA OFICINA</t>
  </si>
  <si>
    <t>PAULISTANIA</t>
  </si>
  <si>
    <t>0268</t>
  </si>
  <si>
    <t>PEDAGIO FAZ MONTE LIBANO PARA OFICINA</t>
  </si>
  <si>
    <t>RICHARD SANTOS</t>
  </si>
  <si>
    <t>FRETE FAZ IDEAL PARA RECREIO (2PRANCHAS)</t>
  </si>
  <si>
    <t>AVAI</t>
  </si>
  <si>
    <t>0011</t>
  </si>
  <si>
    <t>PEDAGIO FAZ IDEAL PARA RECREIO (2PRANCHAS)</t>
  </si>
  <si>
    <t>JOAO ASSIS</t>
  </si>
  <si>
    <t>FRETE FAZ SÃO BENEDITO PARA AGUA FRIA (2PRANCHAS)</t>
  </si>
  <si>
    <t>ANALANDIA</t>
  </si>
  <si>
    <t>2040</t>
  </si>
  <si>
    <t>PADAGIO FAZ SÃO BENEDITO PARA AGUA FRIA (2PRANCHAS)</t>
  </si>
  <si>
    <t>FRETE FAZ MAGNOLIA II PARA IDEAL (2PRANCHAS)</t>
  </si>
  <si>
    <t>BOREBI</t>
  </si>
  <si>
    <t>2066</t>
  </si>
  <si>
    <t>PEDAGIO FAZ MAGNOLIA II PARA IDEAL  (2PRANCHAS)</t>
  </si>
  <si>
    <t>FRETE FAZ ANALANDIA X PARA BOA VISTA II</t>
  </si>
  <si>
    <t>PRATANIA</t>
  </si>
  <si>
    <t>0098</t>
  </si>
  <si>
    <t>PEDAGIO FAZ ANALANDIA X PARA BOA VISTA II</t>
  </si>
  <si>
    <t>AGUARDANDO CARREGAMENTO FAZ ANALANDIA X PARA BOA VISTA II</t>
  </si>
  <si>
    <t>FRETE FAZ ANALANDIA X PARA IDEAL</t>
  </si>
  <si>
    <t>PEDAGIO FAZ ANALANDIA X PARA IDEAL</t>
  </si>
  <si>
    <t>AGUARDANDO CARREGAMENTO FAZ ANALANDIA X PARA IDEAL</t>
  </si>
  <si>
    <t>JULIANO DELGADO</t>
  </si>
  <si>
    <t>10002994 - RIACHO FLORESTAL</t>
  </si>
  <si>
    <t>FRETE FAZ PARAISO PARA SANTA MARTA</t>
  </si>
  <si>
    <t>ITATINGA</t>
  </si>
  <si>
    <t>0559</t>
  </si>
  <si>
    <t>PEDAGIO S/ FRETE FAZ PARAISO PARA SANTA MARTA</t>
  </si>
  <si>
    <t>FRETE FAZ BREJAO PARA PITANGUEIRAS</t>
  </si>
  <si>
    <t>0480</t>
  </si>
  <si>
    <t>FRETE CAM TRACADO</t>
  </si>
  <si>
    <t>10003743 - NIVALDO CAMILO</t>
  </si>
  <si>
    <t>SERVIÇO CAMINHÃO TRACADO KM</t>
  </si>
  <si>
    <t>DIFERENÇA DE TARIFA PAGO 5,08 CORRETO 5,25</t>
  </si>
  <si>
    <t>BOCAINA</t>
  </si>
  <si>
    <t>0440</t>
  </si>
  <si>
    <t>FRETE FAZ PITANGUEIRA PARA ALVORADA VII</t>
  </si>
  <si>
    <t>ITAPETININGA</t>
  </si>
  <si>
    <t>2405</t>
  </si>
  <si>
    <t>FRETE FAZ BOA VISTA II PARA BREJÃO CORREDOR (3PRANCHAS)</t>
  </si>
  <si>
    <t>0981</t>
  </si>
  <si>
    <t>AGUARDANDO CARREGAMENTO FAZ BOA VISTA II PARA BREJÃO CORREDOR (3PRANCHAS)</t>
  </si>
  <si>
    <t>TIAGO ROCHA</t>
  </si>
  <si>
    <t>10132288 - PARAISO TRANSPORTES</t>
  </si>
  <si>
    <t>FRETE PEDREIRA DO PARDO PARA FAZ DOS ORIXAS</t>
  </si>
  <si>
    <t>GUARANTA</t>
  </si>
  <si>
    <t>0202</t>
  </si>
  <si>
    <t>PEDAGIO FRETE PEDREIRA DO PARDO PARA FAZ DOS ORIXAS</t>
  </si>
  <si>
    <t>FRETE FAZ BREJÃO CORREDOR PARA SANTA RITA</t>
  </si>
  <si>
    <t>AVARE</t>
  </si>
  <si>
    <t>0631</t>
  </si>
  <si>
    <t>FRETE FAZ ALVORADA VII  PARA MORRO PEQUENO</t>
  </si>
  <si>
    <t>CORUMBATAI</t>
  </si>
  <si>
    <t>2044</t>
  </si>
  <si>
    <t>FRETE ESCAVADEIRA LOCADA PARA RESGATE DE EQUIPAMENTO ATOLADO</t>
  </si>
  <si>
    <t>PEDAGIO FRETE ESCAVADEIRA LOCADA PARA RESGATE DE EQUIPAMENTO ATOLADO</t>
  </si>
  <si>
    <t>LOC EQUIP</t>
  </si>
  <si>
    <t>SERV ESCAV HIDR 44 TON AGRIC</t>
  </si>
  <si>
    <t>HORAS SERV ESCAVADEIRA LOCADA PARA RESGATE DE EQUIPAMENTO ATOLADO</t>
  </si>
  <si>
    <t>HORA</t>
  </si>
  <si>
    <t>FRETE FAZ SANTA MARTA PARA PINTANGUEIRA</t>
  </si>
  <si>
    <t>FRETE FAZ MORRO PEQUENO PARA LOBOS E ARARAS</t>
  </si>
  <si>
    <t>BROTAS</t>
  </si>
  <si>
    <t>0408</t>
  </si>
  <si>
    <t>FRETE FAZ RECREIO PARA SANTO ALBERTO</t>
  </si>
  <si>
    <t>1023</t>
  </si>
  <si>
    <t>FRETE FAZ LOBO E ARARAS PARA COLARES</t>
  </si>
  <si>
    <t>REGINOPOLIS</t>
  </si>
  <si>
    <t>0312</t>
  </si>
  <si>
    <t>AGUARDANDO CARREGAMENTO FRETE FAZ LOBO E ARARAS PARA COLARES</t>
  </si>
  <si>
    <t>FRETE FAZ LOBO E ARARAS  PARA BOA VISTA I</t>
  </si>
  <si>
    <t>0016</t>
  </si>
  <si>
    <t>PEDAGIO FRETE FAZ LOBO E ARARAS  PARA BOA VISTA I</t>
  </si>
  <si>
    <t>FRETE FAZ SANTO ALBERTO  PARA RECREIO</t>
  </si>
  <si>
    <t>PEDAGIO FRETE FAZ SANTO ALBERTO  PARA RECREIO</t>
  </si>
  <si>
    <t>FRETE FAZ PINTANGUEIRAS  PARA SELVA</t>
  </si>
  <si>
    <t>0015</t>
  </si>
  <si>
    <t>PEDAGIO FRETE FAZ PINTANGUEIRAS  PARA SELVA</t>
  </si>
  <si>
    <t>FRETE FAZ RECREIO  PARA LENCOIS PAULISTA</t>
  </si>
  <si>
    <t>PEDAGIO FRETE FAZ RECREIO  PARA LENCOIS PAULISTA</t>
  </si>
  <si>
    <t>AGUARDANDO CARREGAMENTO FAZ RECREIO  PARA LENCOIS PAULISTA</t>
  </si>
  <si>
    <t>FRETE FAZ LENCOIS PAULISTA  PARA RECREIO</t>
  </si>
  <si>
    <t>PEDAGIO FRETE FAZ LENCOIS PAULISTA  PARA RECREIO</t>
  </si>
  <si>
    <t>FRETE FAZ PORTO BELO  PARA RECREIO</t>
  </si>
  <si>
    <t>PEDAGIOFRETE FAZ PORTO BELO  PARA RECREIO</t>
  </si>
  <si>
    <t>FRETE FAZ RECREIO  PARA PORTO BELO</t>
  </si>
  <si>
    <t>ESPIRITO SANTO DO TURVO</t>
  </si>
  <si>
    <t>0233</t>
  </si>
  <si>
    <t>PEDAGIO FRETE FAZ RECREIO  PARA PORTO BELO</t>
  </si>
  <si>
    <t>MARCOS BRAZ</t>
  </si>
  <si>
    <t>10134542 - K THA TRANSPORTES</t>
  </si>
  <si>
    <t>FRETE OFICINA GUTIERREZ PARA FAZ CARRETAO I</t>
  </si>
  <si>
    <t>SANTA CRUZ DO RIO PARDO</t>
  </si>
  <si>
    <t>0236</t>
  </si>
  <si>
    <t>PEDAGIO OFICINA GUTIERREZ PARA FAZ CARRETAO I</t>
  </si>
  <si>
    <t>SEGURO</t>
  </si>
  <si>
    <t>SERV DESP GERAIS</t>
  </si>
  <si>
    <t>SEGURO OFICINA GUTIERREZ PARA FAZ CARRETAO I</t>
  </si>
  <si>
    <t>FRETE FAZ SELVA  PARA AMERICANA</t>
  </si>
  <si>
    <t>0473</t>
  </si>
  <si>
    <t>PEDAGIO FRETE FAZ SELVA  PARA AMERICANA</t>
  </si>
  <si>
    <t>FRETE FAZ AMERICANA  PARA LAGOA RICA</t>
  </si>
  <si>
    <t>AGUAS DE SANTA BARBARA</t>
  </si>
  <si>
    <t>0035</t>
  </si>
  <si>
    <t>PEDAGIO FRETE FAZ AMERICANA  PARA LAGOA RICA</t>
  </si>
  <si>
    <t>FRETE FAZ BOA VISTA I  PARA SELVA</t>
  </si>
  <si>
    <t>PEDAGIO FRETE FAZ BOA VISTA I  PARA SELVA</t>
  </si>
  <si>
    <t>FRETE FAZ LAGOA RICA  PARA AMERICANA</t>
  </si>
  <si>
    <t>PEDAGIO FRETE FAZ LAGOA RICA  PARA AMERICANA</t>
  </si>
  <si>
    <t>FRETE FAZ SELVA  PARA BOA VISTA II</t>
  </si>
  <si>
    <t>PEDAGIO FRETE FAZ SELVA  PARA BOA VISTA II</t>
  </si>
  <si>
    <t>FRETE FAZ CARRETAO I PARA SANTA TEREZINHA VII</t>
  </si>
  <si>
    <t>AGUDOS</t>
  </si>
  <si>
    <t>PEDAGIO FRETE FAZ CARRETAO I  PARA SANTA TEREZINHA VII</t>
  </si>
  <si>
    <t>FRETE FAZ BOA VISTA II PARA SANTA TEREZINHA VII</t>
  </si>
  <si>
    <t>PEDAGIO FRETE FAZ BOA VISTA II PARA SANTA TEREZINHA VII</t>
  </si>
  <si>
    <t>FRANQUIA FRETE FAZ BOA VISTA II PARA SANTA TEREZINHA VII</t>
  </si>
  <si>
    <t>FRETE FAZ PORTO BELO I PARA TAPERA QUEIMADA</t>
  </si>
  <si>
    <t>0019</t>
  </si>
  <si>
    <t>PEDAGIO FRETE FAZ PORTO BELO I PARA TAPERA QUEIMADA</t>
  </si>
  <si>
    <t>FRETE FAZ TAPERA QUEIMADA I PARA SANTA ELISA</t>
  </si>
  <si>
    <t>AREALVA</t>
  </si>
  <si>
    <t>0103</t>
  </si>
  <si>
    <t>PEDAGIO FRETE FAZ TAPERA QUEIMADA I PARA SANTA ELISA</t>
  </si>
  <si>
    <t>FRETE FAZ SANTA THEREZINHA</t>
  </si>
  <si>
    <t>2263</t>
  </si>
  <si>
    <t>PEDAGIO FRETE FAZ SANTA THEREZINHA</t>
  </si>
  <si>
    <t>SERV ESCAVADEIRA</t>
  </si>
  <si>
    <t>SERV ESCAV HIDR 21 TON AGRIC</t>
  </si>
  <si>
    <t>SERV DE ESCAVADEIRA FAZ SANTA THEREZINHA</t>
  </si>
  <si>
    <t>FRANQUIA FRETE FAZ SANTA THEREZINHA</t>
  </si>
  <si>
    <t>FRETE FAZ BOA VISTA II PARA FAZ TAPERA QUEIMADA</t>
  </si>
  <si>
    <t>PEDAGIO FRETE FAZ BOA VISTA II PARA FAZ TAPERA QUEIMADA</t>
  </si>
  <si>
    <t>FRETE BASE PIRAJUI I PARA PINDORAMA GLEBA B</t>
  </si>
  <si>
    <t>IACANGA</t>
  </si>
  <si>
    <t>PEDAGIO FRETE BASE PIRAJUI I PARA PINDORAMA GLEBA B</t>
  </si>
  <si>
    <t>FRETE FAZ SANTA ELISA I PARA PINDORAMA GLEBA B</t>
  </si>
  <si>
    <t>PEDAGIO FRETE FAZ SANTA ELISA I PARA PINDORAMA GLEBA B</t>
  </si>
  <si>
    <t>FRETE FAZ PINDORA GLEBA C I PARA SANTA HELENA III</t>
  </si>
  <si>
    <t>JULIO MESQUITA</t>
  </si>
  <si>
    <t>0224</t>
  </si>
  <si>
    <t>PEDAGIO FRETE FAZ PINDORA GLEBA C I PARA SANTA HELENA III</t>
  </si>
  <si>
    <t>FRETE FAZ AMERICANA I PARA LAGOA RICA</t>
  </si>
  <si>
    <t>PEDAGIO FRETE FAZ AMERICANA I PARA LAGOA RICA</t>
  </si>
  <si>
    <t>FRETE FAZ TAPERA QUEIMADA PARA LAGOA RICA</t>
  </si>
  <si>
    <t>PEDAGIO FRETE FAZ TAPERA QUEIMADA PARA LAGOA RICA</t>
  </si>
  <si>
    <t>FRETE FAZ LAGOA RICA I PARA AMERICANA</t>
  </si>
  <si>
    <t>PEDAGIO FRETE FAZ LAGOA RICA I PARA AMERICANA</t>
  </si>
  <si>
    <t>FRETE FAZ SANTA THEREZIINHA I PARA SANTA HELENA III</t>
  </si>
  <si>
    <t>PEDAGIO FRETE FAZ SANTA THEREZINHA I PARA SANTA HELENA III</t>
  </si>
  <si>
    <t>FRETE FAZ SANTA THEREZINHA VII PARA SANTA HELENA III</t>
  </si>
  <si>
    <t>PEDAGIO FRETE FAZ SANTA THEREZINHA VII PARA SANTA HELENA III</t>
  </si>
  <si>
    <t>FRANQUIA FRETE FAZ SANTA THEREZINHA VII PARA SANTA HELENA III</t>
  </si>
  <si>
    <t>FRETE FAZ MACEDONIA I PARA BOA VISTA II</t>
  </si>
  <si>
    <t>PEDAGIO FRETE FAZ MACEDONIA I PARA BOA VISTA II</t>
  </si>
  <si>
    <t>FRETE FAZ AMERICANA PARA MACEDONIA</t>
  </si>
  <si>
    <t>0478</t>
  </si>
  <si>
    <t>PEDAGIO FRETE FAZ AMERICANA PARA MACEDONIA</t>
  </si>
  <si>
    <t>FRETE FAZ PINDORAMA II PARA SANTA HELENA III</t>
  </si>
  <si>
    <t>PEDAGIO FRETE FAZ PINDORAMA II PARA SANTA HELENA III</t>
  </si>
  <si>
    <t>FRETE FAZ LAGOA RICA PARA BOA VISTA II</t>
  </si>
  <si>
    <t>PEDAGIO FRETE FAZ LAGOA RICA PARA BOA VISTA II</t>
  </si>
  <si>
    <t>FRANQUIA FRETE FAZ LAGOA RICA PARA BOA VISTA II</t>
  </si>
  <si>
    <t>FRETE FAZ PINDORAMA II PARA OFICINA GUTIERRES</t>
  </si>
  <si>
    <t>2410</t>
  </si>
  <si>
    <t>PEDAGIO FRETE FAZ PINDORAMA II PARA OFICINA GUTIERRES</t>
  </si>
  <si>
    <t>FRETE PIRAJUI PARA JULIO MESQUITA TRANSB PRANCHA</t>
  </si>
  <si>
    <t>PEDAGIO FRETE PIRAJUI PARA JULIO MESQUITA TRANSB PRANCHA</t>
  </si>
  <si>
    <t>FRETE OFICINA TERRA VERDE PARA PINDORAMA II GLEBA B</t>
  </si>
  <si>
    <t>PEDAGIO FRETE OFICINA TERRA VERDE PARA PINDORAMA II GLEBA B</t>
  </si>
  <si>
    <t>LENCOIS PAULISTA</t>
  </si>
  <si>
    <t>FRETE SANTA HELENA X  PARA CARRETAO I</t>
  </si>
  <si>
    <t>PEDAGIO FRETE SANTA HELENA X  PARA CARRETAO I</t>
  </si>
  <si>
    <t>FRETE SANTA HELENA III VERDE PARA PINDORAMA II GLEBA B</t>
  </si>
  <si>
    <t>PEDAGIO FRETE SANTA HELENA III VERDE PARA PINDORAMA II GLEBA B</t>
  </si>
  <si>
    <t>FRETE BOA VISTA II VERDE PARA JATOBA</t>
  </si>
  <si>
    <t>0105</t>
  </si>
  <si>
    <t>FRETE MACEDONIA PARA BOA VISTA II</t>
  </si>
  <si>
    <t>FRETE CARRETAO I  PARA OFICINA LENCOIS</t>
  </si>
  <si>
    <t>PEDAGIO FRETE CARRETAO I  PARA OFICINA LENCOIS</t>
  </si>
  <si>
    <t>FRETE CARRETAO I  PARA SANTA HELENA</t>
  </si>
  <si>
    <t>PEDAGIO FRETE CARRETAO I  PARA SANTA HELENA</t>
  </si>
  <si>
    <t>FRANQUIA FRETE CARRETAO I  PARA SANTA HELENA</t>
  </si>
  <si>
    <t>FRETE JATOBA II PARA FORQUILHA II</t>
  </si>
  <si>
    <t>0090</t>
  </si>
  <si>
    <t>PEDAGIO FRETE JATOBA II PARA FORQUILHA II</t>
  </si>
  <si>
    <t>FRETE BOA VISTA II PARA UNESP</t>
  </si>
  <si>
    <t>FRETE UNESP PARA BOA VISTA II</t>
  </si>
  <si>
    <t>FRETE DIVISAO FLORESTAL PARA PORTO BELO</t>
  </si>
  <si>
    <t>PEDAGIO FRETE DIVISAO FLORESTAL PARA PORTO BELO</t>
  </si>
  <si>
    <t>FRETE ESTIVA PARA SANTA MARIA III</t>
  </si>
  <si>
    <t>PIRAJUI</t>
  </si>
  <si>
    <t>0219</t>
  </si>
  <si>
    <t>PEDAGIO FRETE ESTIVA PARA SANTA MARIA III</t>
  </si>
  <si>
    <t>FRETE PINDORAMA II GLEBA B PARA SANTA HELENA III</t>
  </si>
  <si>
    <t>PEDAGIO FRETE PINDORAMA II GLEBA B PARA SANTA HELENA III</t>
  </si>
  <si>
    <t>FRETE FORQUILHA II PARA SÃO JOAO V</t>
  </si>
  <si>
    <t>PRESIDENTE ALVES</t>
  </si>
  <si>
    <t>0227</t>
  </si>
  <si>
    <t>PEDAGIO FRETE FORQUILHA II PARA SÃO JOAO V</t>
  </si>
  <si>
    <t>FRANQUIA FRETE FORQUILHA II PARA SÃO JOAO V</t>
  </si>
  <si>
    <t>FRETE MACEDONIA PARA FORQUILHA II</t>
  </si>
  <si>
    <t>PEDAGIO FRETE MACEDONIA PARA FORQUILHA II</t>
  </si>
  <si>
    <t>FRETE BOA VISTA II PARA MACEDONIA</t>
  </si>
  <si>
    <t>PEDAGIO FRETE BOA VISTA II PARA MACEDONIA</t>
  </si>
  <si>
    <t>FRETE IPE II PARA FORQUILHA II</t>
  </si>
  <si>
    <t>FRETE FORQUILHA II PARA IPE II</t>
  </si>
  <si>
    <t>0271</t>
  </si>
  <si>
    <t>FERNANDO OLIVEIRA</t>
  </si>
  <si>
    <t>FRETE SANTA MARIA III PARA OFICINA MAQNOVA</t>
  </si>
  <si>
    <t>PEDAGIO FRETE SANTA MARIA III PARA OFICINA MAQNOVA</t>
  </si>
  <si>
    <t>-</t>
  </si>
  <si>
    <t>FRETE SANTA HELENA PARA SAO JOAO V</t>
  </si>
  <si>
    <t>FRETE OFICINA LENCOIS PARA DIVISAO E CARRETAO</t>
  </si>
  <si>
    <t>PEDAGIO FRETE SANTA HELENA PARA SAO JOAO V</t>
  </si>
  <si>
    <t>PEDAGIO FRETE OFICINA LENCOIS PARA DIVISAO E CARRETAO</t>
  </si>
  <si>
    <t>FRETE ESPERANCA PARA OLINDA</t>
  </si>
  <si>
    <t>ITAI</t>
  </si>
  <si>
    <t>PEDAGIO FRETE ESPERANCA PARA OLINDA</t>
  </si>
  <si>
    <t>FRETE SÃO JOAO V PARA JATOBA II</t>
  </si>
  <si>
    <t>PEDAGIO FRETE SÃO JOAO V PARA JATOBA II</t>
  </si>
  <si>
    <t>FRETE SÃO JOAO V PARA CARRETAO</t>
  </si>
  <si>
    <t>FRETE FORQUILHA I PARA JATOBA II</t>
  </si>
  <si>
    <t>PEDAGIO FRETE SÃO JOAO V PARA CARRETAO</t>
  </si>
  <si>
    <t>PEDAGIO FRETE FORQUILHA I PARA JATOBA II</t>
  </si>
  <si>
    <t>FRETE DIVISAO PARA CARRETAO E DIVISAO</t>
  </si>
  <si>
    <t>PEDAGIO FRETE DIVISAO PARA CARRETAO E DIVISAO</t>
  </si>
  <si>
    <t>FRETE JATOBA II PARA SERRINHA</t>
  </si>
  <si>
    <t>0270</t>
  </si>
  <si>
    <t>FRETE MACEDONIA PARA FLECHA AZUL</t>
  </si>
  <si>
    <t>BOA ESPERANCA DO SUL</t>
  </si>
  <si>
    <t>PEDAGIO FRETE JATOBA II PARA SERRINHA</t>
  </si>
  <si>
    <t>PEDAGIO FRETE MACEDONIA PARA FLECHA AZUL</t>
  </si>
  <si>
    <t>SINALIZACAO</t>
  </si>
  <si>
    <t>GIOVANI MACIEL</t>
  </si>
  <si>
    <t>10129404 - SINALFLORA</t>
  </si>
  <si>
    <t>0200111</t>
  </si>
  <si>
    <t>SERV CONFECCAO DE ADESIVOS</t>
  </si>
  <si>
    <t>PAINEL EM ACM BRANCO C/ IMPRESSAO DIGITAL 5 X 1,20 QUADRO METALON</t>
  </si>
  <si>
    <t>ADESIVO MAPA DE RISCO</t>
  </si>
  <si>
    <t>ACRILICO FOLHA A4 DOBRADOS PARA ARMAZENAR FISPQ E DOCUMENTOS</t>
  </si>
  <si>
    <t>PLACA EM ACM INDICATIVA DE ADVERTENCIA</t>
  </si>
  <si>
    <t>PLACA DE SINALIZACAO INDICATIVA</t>
  </si>
  <si>
    <t>CAIXA PARA RESIDUOS</t>
  </si>
  <si>
    <t>ADESIVO ABELHA</t>
  </si>
  <si>
    <t>ADESIVO EM IMPRESSAO</t>
  </si>
  <si>
    <t>ADESIVO C/ IMPRESSAO DIGITAL E RECORTE KIT PRIMEIROS SOCORROS</t>
  </si>
  <si>
    <t>ADESIVA EM RECORTE POLIMERICO</t>
  </si>
  <si>
    <t>ADESIVOS PARA PAINEIS ELETRICOS</t>
  </si>
  <si>
    <t>ADESIVO IMPRESSAO DIGITAL</t>
  </si>
  <si>
    <t>ADESIVO IMPRESSAO DIGITAL RECORTE DE CONTORNO</t>
  </si>
  <si>
    <t>ADESIVO DE IDENTIFICACAO</t>
  </si>
  <si>
    <t>ADESIVO DE EXTINTORES</t>
  </si>
  <si>
    <t>CAVALETE INDICATIVO</t>
  </si>
  <si>
    <t>ADESIVO C/ IMPRESSAO DIGITAL</t>
  </si>
  <si>
    <t>PLACA DE SINALIZACAO ADVERTENCIA</t>
  </si>
  <si>
    <t>ADESIVO EM IMPRESSAO DIGITAL</t>
  </si>
  <si>
    <t>PLACA DE SINALIZACAO</t>
  </si>
  <si>
    <t>ADESIVO PADRAO BRACELL</t>
  </si>
  <si>
    <t>ADESIVO DEGRAU TRES PONTOS</t>
  </si>
  <si>
    <t>ADESIVO FROTA VINIL</t>
  </si>
  <si>
    <t>ADESIVO ADEVERTENCIA</t>
  </si>
  <si>
    <t>PEDAGIO FRETE  FAZ. SANTA ROSA II PARA FAZ. SÃO JOÃO V</t>
  </si>
  <si>
    <t>FRETE  FAZ. SANTA ROSA II PARA FAZ. SÃO JOÃO V</t>
  </si>
  <si>
    <t>PEDAGIO FRETE  FAZ. IPIRANGA III  PARA FAZ. QUERENCIA IV</t>
  </si>
  <si>
    <t>FRETE  FAZ. IPIRANGA III  PARA FAZ. QUERENCIA IV</t>
  </si>
  <si>
    <t>2075</t>
  </si>
  <si>
    <t>PEDAGIO FRETE FAZ. FLECHA AZUL PARA FAZ. MACEDONIA</t>
  </si>
  <si>
    <t>FRETE FAZ. FLECHA AZUL PARA FAZ. MACEDONIA</t>
  </si>
  <si>
    <t>PEDAGIO FRETE FAZ. CARRETAO I X LENÇOIS PTA</t>
  </si>
  <si>
    <t>FRETE  FAZ. CARRETAO I X LENÇOIS PTA</t>
  </si>
  <si>
    <t>PEDAGIO FRETE FAZ. ALVORADA X FAZ. CARRETÃO</t>
  </si>
  <si>
    <t>FRETE  FAZ. ALVORADA X FAZ. CARRETÃO</t>
  </si>
  <si>
    <t>PEDAGIO FRETE  FAZ. SANTA HELENA  PARA FAZ. SANTA ELISA</t>
  </si>
  <si>
    <t>FRETE  FAZ. SANTA HELENA  PARA FAZ. SANTA ELISA</t>
  </si>
  <si>
    <t>PEDAGIO FRETE  FAZ. BOA VISTA III  PARA  FAZ. FLECHA AZUL</t>
  </si>
  <si>
    <t>FRETE  FAZ. BOA VISTA III   PARA  FAZ. FLECHA AZUL</t>
  </si>
  <si>
    <t>PEDAGIO FRETE  FAZ. FLECHA AZUL  PARA  FAZ. BOA VISTA III</t>
  </si>
  <si>
    <t>FRETE  FAZ. FLECHA AZUL PARA FAZ. BOA VISTA III</t>
  </si>
  <si>
    <t>CAFELANDIA</t>
  </si>
  <si>
    <t>PEDAGIO FRETE  FAZ. SANTA ELISA  PARA FAZ. SANTA RITA III</t>
  </si>
  <si>
    <t>FRETE  FAZ. SANTA ELISA  PARA FAZ. SANTA RITA III</t>
  </si>
  <si>
    <t>GALIA</t>
  </si>
  <si>
    <t xml:space="preserve">PEDAGIO FRETE FAZ. FLECHA AZUL PARA FAZ. MACEDONIA </t>
  </si>
  <si>
    <t>FRETE  FAZ. FLECHA AZUL PARA FAZ. MACEDONIA</t>
  </si>
  <si>
    <t>PEDAGIO FRETE TERRA TRATORES   PARA  FAZ. CACHOEIRA DOS INDIOS</t>
  </si>
  <si>
    <t>FRETE  TERRA TRATORES  PARA  FAZ. CACHOEIRA DOS INDIOS</t>
  </si>
  <si>
    <t>GETULINA</t>
  </si>
  <si>
    <t>PEDAGIO FRETE  FAZ. NOSSA SRA DE GUADALUPE PARA  FAZ. LIBERDADE III</t>
  </si>
  <si>
    <t>FRETE  FAZ. TAPERA QUEIMADA  X  FAZ. AMERICA I</t>
  </si>
  <si>
    <t>PEDAGIO FRETE FAZ. TAPERA QUEIMADA X  FAZ. AMERICA I</t>
  </si>
  <si>
    <t>FRETE  FAZ. BREJO AZUL   X  FAZ. MACEDONIA</t>
  </si>
  <si>
    <t>PEDAGIO FRETE   FAZ. BREJO AZUL X  FAZ. MACEDONIA</t>
  </si>
  <si>
    <t>FRETE  FAZ. TAPERA QUEIMADA</t>
  </si>
  <si>
    <t>PEDAGIO FRETE  FAZ. TAPERA QUEIMADA</t>
  </si>
  <si>
    <t>FRETE  FAZ. SANTA HELENA   X  FAZ. SANTA ELISA</t>
  </si>
  <si>
    <t>PEDAGIO FRETE  FAZ. SANTA HELENA   X   FAZ. SANTA ELISA</t>
  </si>
  <si>
    <t>FRETE  FAZ. BOA VISTA III   X  FAZ. FLECHA AZUL</t>
  </si>
  <si>
    <t>PEDAGIO FRETE  FAZ. BOA VISTA III  X  FAZ. FLECHA AZUL</t>
  </si>
  <si>
    <t>FRETE FAZ. FLECHA AZUL   X  FAZ. BOA VISTA III</t>
  </si>
  <si>
    <t>PEDAGIO FRETE  FAZ. FLECHA AZUL   X  FAZ. BOA VISTA III</t>
  </si>
  <si>
    <t>F:\Planejamento_e_Controle\Cadastro Florestal\Cadastro Filiais</t>
  </si>
  <si>
    <t>FRETE  FAZ. NOSSA SRA DE GUADALUPE PARA  FAZ. LIBERDADE III</t>
  </si>
  <si>
    <t>BOTUCATU</t>
  </si>
  <si>
    <t>FRETE FAZ. SANTA HELENA   X FAZ. ALVORADA VII</t>
  </si>
  <si>
    <t>PEDAGIO FRETE  FAZ. SANTA HELENA  X  FAZ. ALVORADA VII</t>
  </si>
  <si>
    <t>00000000 - SGF EMFLORA/GERS/GERACAO</t>
  </si>
  <si>
    <t>PEDAGIO FRETE  FAZ. FAZENDA PRIMAVERA II   X  FAZ. BELA VISTA VII</t>
  </si>
  <si>
    <t>FRETE  FAZ. FAZENDA PRIMAVERA II   X FAZ. BELA VISTA VII</t>
  </si>
  <si>
    <t>SERV DESP SEGURO</t>
  </si>
  <si>
    <t xml:space="preserve">FRETE  FAZENDA REPRESA G A   X   FAZ.FLECHA AZUL </t>
  </si>
  <si>
    <t xml:space="preserve">PEDAGIO FRETE FAZENDA REPRESA G A   X  FAZENDA FLECHA AZUL </t>
  </si>
  <si>
    <t>PEDAGIO FRETE FAZ. FLECHA AZUL X FAZENDA REPRESA G A</t>
  </si>
  <si>
    <t>FRETE   FAZ.FLECHA AZUL X  FAZENDA REPRESA G A</t>
  </si>
  <si>
    <t>PEDAGIO FRETE FAZENDA SAO CRISTOVAO X   FAZENDA BURITIS</t>
  </si>
  <si>
    <t>FRETE FRETE FAZENDA SAO CRISTOVAO   X  FAZENDA BURITIS</t>
  </si>
  <si>
    <t>PEDAGIO FRETE FAZ. NOSSA SRA DE GUADALUPES X   FAZ. LIBERDADE III</t>
  </si>
  <si>
    <t>FRETE FRETE   FAZ. NOSSA SRA DE GUADALUPES  X  FAZ. LIBERDADE III</t>
  </si>
  <si>
    <t>PEDAGIO FRETE FAZENDA BELA VISTA VII  X   FAZENDA CONGONHAS II</t>
  </si>
  <si>
    <t>FRETE FRETE FAZENDA BELA VISTA VII   X  FAZENDA CONGONHAS II</t>
  </si>
  <si>
    <t>DUARTINA</t>
  </si>
  <si>
    <t>PEDAGIO FRETE  FAZENDA MENDES UNIÃO   X   FAZ. FLECHA AZUL - BOA ESPERANÇA DO SUL</t>
  </si>
  <si>
    <t>FRETE FRETE FAZENDA MENDES UNIÃO  X  FAZ. FLECHA AZUL - BOA ESPERANÇA DO SUL</t>
  </si>
  <si>
    <t>PEDAGIO FRETE  FAZ. ÁGUA FRIA - ANGATUBA   X   FAZ. FLECHA AZUL - BOA ESPERANÇA DO SUL</t>
  </si>
  <si>
    <t>FRETE FRETE FAZ. ÁGUA FRIA - ANGATUBA   X  FAZ. FLECHA AZUL - BOA ESPERANÇA DO SUL</t>
  </si>
  <si>
    <t>PEDAGIO FRETE FAZENDA BELA VISTA VII   X   FAZENDA CONGONHAS II</t>
  </si>
  <si>
    <t>FRETE FRETE  FAZENDA BELA VISTA VII  X  FAZENDA CONGONHAS II</t>
  </si>
  <si>
    <t>PEDAGIO FRETE FAZENDA FLECHA AZUL X   FAZENDA TURVNHO I</t>
  </si>
  <si>
    <t>FRETE FRETE  FAZENDA FLECHA AZUL  X  FAZENDA TURVNHO I</t>
  </si>
  <si>
    <t>PEDAGIO FRETE FAZENDA FLECHA AZUL  X  FAZ. SANTA ROSA</t>
  </si>
  <si>
    <t>FRETE FRETE  FAZENDA FLECHA AZUL  X  FAZ. SANTA ROSA</t>
  </si>
  <si>
    <t>JOÃO ASSIS</t>
  </si>
  <si>
    <t>PEDAGIO FRETE OFICINA MS X   CAT - LENÇÓIS PAULISTA</t>
  </si>
  <si>
    <t>FRETE FRETE OFICINA MS  X  CAT - LENÇÓIS PAULISTA</t>
  </si>
  <si>
    <t>ANGATUBA</t>
  </si>
  <si>
    <t>PIRAJUÍ</t>
  </si>
  <si>
    <t>00000000-LEMAQ</t>
  </si>
  <si>
    <t>PEDAGIO FRETE POSTO PASARELA  X   FAZ. BELA VISTA 3</t>
  </si>
  <si>
    <t>FRETE FRETE POSTO PASARELA  X  FAZ. BELA VISTA 3</t>
  </si>
  <si>
    <t>Total Geral</t>
  </si>
  <si>
    <t>Soma de TOTAL</t>
  </si>
  <si>
    <t>(Vários itens)</t>
  </si>
  <si>
    <t>PEDAGIO FRETE  FAZ. SANTA ROSA IV  X  FAZ. SANTO ANTONIO DOS PALMARES</t>
  </si>
  <si>
    <t>FRETE FRETE FAZ. SANTA ROSA IV  X  FAZ. SANTO ANTONIO DOS PALMARES</t>
  </si>
  <si>
    <t>PEDAGIO FRETE FAZ. SANTO ANTONIO DOS PALMARES  X  FAZ. SÃO GERONIMO II</t>
  </si>
  <si>
    <t>FRETE FRETE FAZ. SANTO ANTONIO DOS PALMARES  X  FAZ. SÃO GERONIMO II</t>
  </si>
  <si>
    <t>PEDAGIO FRETE FAZ. BURITIS  X  PÁTIO BRACELL</t>
  </si>
  <si>
    <t xml:space="preserve">FRETE FRETE  FAZ. BURITIS X  PÁTIO BRACELL </t>
  </si>
  <si>
    <t>PEDAGIO FRETE FAZ. SANTO ANTONIO DOS PALMARES  X  FAZ. SANTA ROSA IV</t>
  </si>
  <si>
    <t>FRETE FRETE FAZ. SANTO ANTONIO DOS PALMARES  X FAZ. SANTA ROSA IV</t>
  </si>
  <si>
    <t>PEDAGIO FRETE PÁTIO BRACELL - LENÇÓIS PAULISTA  X  FAZ. FLECHA AZUL</t>
  </si>
  <si>
    <t>FRETE FRETE PÁTIO BRACELL - LENÇÓIS PAULISTA  X FAZ. FLECHA AZUL</t>
  </si>
  <si>
    <t>FRETE FRETE  FAZ. SANTO ANTONIO DOS PALMARES X FAZ. SANTA ROSA IV</t>
  </si>
  <si>
    <t>BOA ESPERANÇA DO SUL</t>
  </si>
  <si>
    <t>CAPÃO BONITO</t>
  </si>
  <si>
    <t>PEDAGIO FRETE  FAZ. SÃO PEDRO  X  FAZ. IPÊ II</t>
  </si>
  <si>
    <t xml:space="preserve">FRETE FAZ. SÃO PEDRO  X FAZ. IPÊ II </t>
  </si>
  <si>
    <t xml:space="preserve">AGUDOS </t>
  </si>
  <si>
    <t>PEDAGIO FRETE FAZ. SÃO JOSE II  X  FAZ. SANTO ANTONIO DOS PALMARES</t>
  </si>
  <si>
    <t>FRETE  FAZ. SÃO JOSE II  X FAZ. SANTO ANTONIO DOS PALMARES</t>
  </si>
  <si>
    <t xml:space="preserve">FRETE  FAZ. NOSSA SRA DE LOURDES II   X FAZ. SÃO PEDRO </t>
  </si>
  <si>
    <t xml:space="preserve">PEDAGIO FRETE  FAZ. NOSSA SRA DE LOURDES II   X  FAZ. SÃO PEDRO </t>
  </si>
  <si>
    <t>PEDAGIO FRETE FAZ. SANTA ROSA  X  FAZ. SANTO ANTONIO DOS PALMARES</t>
  </si>
  <si>
    <t>FRETE  FRETE FAZ. SANTA ROSA X FAZ. SANTO ANTONIO DOS PALMARES</t>
  </si>
  <si>
    <t>PEDAGIO FRETE FAZ. SÃO PEDRO X  FAZ. SÃO PEDRO</t>
  </si>
  <si>
    <t>FRETE  FRETE FAZ. SÃO PEDRO  X FAZ. SÃO PEDRO</t>
  </si>
  <si>
    <t xml:space="preserve">PEDAGIO FRETE FAZ. FLECHA AZUL X  FAZ. TURVINHO </t>
  </si>
  <si>
    <t xml:space="preserve">FRETE FAZ. FLECHA AZUL  X  FAZ. TURVINHO </t>
  </si>
  <si>
    <t>PEDAGIO FRETE FAZ. SÃO PEDRO X FAZ. SÃO PEDRO</t>
  </si>
  <si>
    <t>FRETE FAZ. SÃO PEDRO  X  FAZ. SÃO PEDRO</t>
  </si>
  <si>
    <t>PEDAGIO FRETE FAZ. SALTO DO LONTRA X FAZ. SANTA ROSA VI</t>
  </si>
  <si>
    <t>FRETE  FRETE FAZ. SALTO DO LONTRA  X  FAZ. SANTA ROSA VI</t>
  </si>
  <si>
    <t xml:space="preserve">PEDAGIO FRETE FAZ. SANTO ANTONIO DOS PALMARES X FAZ. SANTA ROSA VI </t>
  </si>
  <si>
    <t xml:space="preserve">FRETE  FRETE FAZ. SANTO ANTONIO DOS PALMARES X  FAZ. SANTA ROSA VI </t>
  </si>
  <si>
    <t>CAPAO BONITO</t>
  </si>
  <si>
    <t>Rótulos de Linha</t>
  </si>
  <si>
    <t>Rótulos de Coluna</t>
  </si>
  <si>
    <t>2024</t>
  </si>
  <si>
    <t>2024 Total</t>
  </si>
  <si>
    <t>Trim3</t>
  </si>
  <si>
    <t>Trim3 Total</t>
  </si>
  <si>
    <t>jul</t>
  </si>
  <si>
    <t>PEDAGIO FRETE FAZ. IPE II x FAZ. PALMEIRAS</t>
  </si>
  <si>
    <t>FRETE  FRETE FAZ. IPE II x FAZ. PALMEIRAS</t>
  </si>
  <si>
    <t>PEDAGIO FRETE  FAZ. GANESI GLEBA B x FAZ. SALTO DO LONTRA</t>
  </si>
  <si>
    <t>FRETE  FRETE FAZ. GANESI GLEBA B x FAZ. SALTO DO LONTRA</t>
  </si>
  <si>
    <t>PEDAGIO FRETE  LENCOIS CAT x FAZ. SANTA TEREZINHA IV</t>
  </si>
  <si>
    <t>FRETE  FRETE  LENCOIS CAT x FAZ. SANTA TEREZINHA IV</t>
  </si>
  <si>
    <t>PEDAGIO FRETE FAZ. SANTA TEREZINHA IV x LENCOIS CAT</t>
  </si>
  <si>
    <t>FRETE  FRETE  FAZ. SANTA TEREZINHA IV x LENCOIS CAT</t>
  </si>
  <si>
    <t>PEDAGIO FRETE FAZ. TURVINHO I  X FAZ. GANESI GLEBA B</t>
  </si>
  <si>
    <t>FRETE  FRETE FAZ. TURVINHO I X FAZ. GANESI GLEBA B</t>
  </si>
  <si>
    <t>PEDAGIO FRETE FAZ. GANESI GLEBA B X FAZ. SALTO DO LONTRA</t>
  </si>
  <si>
    <t>FRETE  FRETE FAZ. GANESI GLEBA B X FAZ. SALTO DO LONTRA</t>
  </si>
  <si>
    <t>ADESIVO DE FROTA 37X12 cm  RECORTE PRETO VINIL</t>
  </si>
  <si>
    <t>QUADROS DE Acm, Branco com laminação para escritas, 70x50cm personalizado -pc</t>
  </si>
  <si>
    <t xml:space="preserve">PLACA DE SINALIZACAO SEGURANÇA </t>
  </si>
  <si>
    <t xml:space="preserve">PLACA EM PVC </t>
  </si>
  <si>
    <t xml:space="preserve">PLACA SEGURANÇA EM ACM </t>
  </si>
  <si>
    <t xml:space="preserve">PLACA SINALIZAÇÃO </t>
  </si>
  <si>
    <t>ADESIVO PADRÃO AUTOMOTIVO</t>
  </si>
  <si>
    <t xml:space="preserve">CAVALETES CONFEC. EM CHAPA DE AÇO </t>
  </si>
  <si>
    <t>ADESIVO RECORTE AZUL- LOGO BRACELL</t>
  </si>
  <si>
    <t xml:space="preserve">ADESIVOS NUMERAÇÃO DE FROTAS DOS IMPLEMENTOS </t>
  </si>
  <si>
    <t>ADESIVO LOGO BRACELL P/ CAÇAMBA</t>
  </si>
  <si>
    <t xml:space="preserve">PLACA DE SINALIZAÇÃO </t>
  </si>
  <si>
    <t xml:space="preserve">CAVALETE INDICATIVO- APLICAÇÃO AGROTÓXICOS </t>
  </si>
  <si>
    <t xml:space="preserve">PLACA EM ACM - INDICATIVA/ ADVERTÊNCIA </t>
  </si>
  <si>
    <t xml:space="preserve">PLACA DE SINALIZAÇÃO ADVERTÊNCIA- ÁREA DE VIVÊNCIA </t>
  </si>
  <si>
    <t xml:space="preserve">CAVALETES EM METALON </t>
  </si>
  <si>
    <t xml:space="preserve">PLACA DE SINALIZAÇÃO - ADVERTÊNCIA </t>
  </si>
  <si>
    <t>QUADRO DE GESTÃO A VISTA EM ACM</t>
  </si>
  <si>
    <t>VINICIUS GIACOMETTI</t>
  </si>
  <si>
    <t>IMOBILIZADOR DE CABECA HEAD BLOCK</t>
  </si>
  <si>
    <t xml:space="preserve">ADESIVO ABELHA </t>
  </si>
  <si>
    <t>ADESIVO DE EXTINTORES EM VINIL</t>
  </si>
  <si>
    <t xml:space="preserve">ADESIVO PADRÃO BRACELL FLORESTAL </t>
  </si>
  <si>
    <t>ADESIVO DEGRAU</t>
  </si>
  <si>
    <t xml:space="preserve">ADESIVOS/ PS- CHAPA - MODELOS DIVERSOS </t>
  </si>
  <si>
    <t xml:space="preserve">PLACA EM ACM- INDICATIVA / ADVERTÊNCIA </t>
  </si>
  <si>
    <t>(Tudo)</t>
  </si>
  <si>
    <t>BANNER EM LONA - SEGURANÇA -PADRÃO BRACELL (DAILY MANAGEMENT)</t>
  </si>
  <si>
    <t>2023</t>
  </si>
  <si>
    <t>Trim1</t>
  </si>
  <si>
    <t>Trim2</t>
  </si>
  <si>
    <t>BANNER EM LONA - SEGURANÇA -PADRÃO BRACELL -ACABAMENTO BASTÃO CORDA E PONTEIRA</t>
  </si>
  <si>
    <t>0657</t>
  </si>
  <si>
    <t>0177</t>
  </si>
  <si>
    <t>0012</t>
  </si>
  <si>
    <t>0404</t>
  </si>
  <si>
    <t>0938</t>
  </si>
  <si>
    <t>0421</t>
  </si>
  <si>
    <t>PEDAGIO FRETE FAZ. SALTO DO LONTRA x  FAZ. CABREUVA</t>
  </si>
  <si>
    <t xml:space="preserve">FRETE  FRETE FAZ. SALTO DO LONTRA x FAZ. CABREUVA </t>
  </si>
  <si>
    <t xml:space="preserve">PEDAGIO FRETE FAZ. CABREUVA X FAZ. IPE II </t>
  </si>
  <si>
    <t xml:space="preserve">FRETE  FRETE  FAZ. CABREUVA x FAZ. IPE II </t>
  </si>
  <si>
    <t xml:space="preserve">CLAUDEMIR MEDEIROS </t>
  </si>
  <si>
    <t xml:space="preserve">BANNER EM LONA - SEGURANÇA -PADRÃO BRACELL </t>
  </si>
  <si>
    <t>SERV DESP HORAS</t>
  </si>
  <si>
    <t xml:space="preserve">PEDAGIO FRETE FAZ. PALMEIRAS X  FAZ. LAGOA DA ANTA </t>
  </si>
  <si>
    <t xml:space="preserve">FRETE  FRETE FAZ. PALMEIRAS X  FAZ. LAGOA DA ANTA </t>
  </si>
  <si>
    <t xml:space="preserve">PEDAGIO FRETE FAZ. TURVINHO II X  FAZ. OITO PONTAS </t>
  </si>
  <si>
    <t xml:space="preserve">FRETE  FRETE FAZ. TURVINHO II X  FAZ. OITO PONTAS </t>
  </si>
  <si>
    <t xml:space="preserve">FRETE  FRETE FAZ. PRIMAVERA  X  FAZ. SANTA MADALENA </t>
  </si>
  <si>
    <t xml:space="preserve">PEDAGIO FRETE FAZ. PRIMAVERA  X  FAZ. SANTA MADALENA </t>
  </si>
  <si>
    <t xml:space="preserve">FRETE  FRETE FAZ. PALMEIRAS X  FAZ. PIRACANJUBA </t>
  </si>
  <si>
    <t xml:space="preserve">PEDAGIO FRETE FAZ. PALMEIRAS X  FAZ. PIRACANJUBA </t>
  </si>
  <si>
    <t>0346</t>
  </si>
  <si>
    <t xml:space="preserve"> RIBAS DO RIO PARDO</t>
  </si>
  <si>
    <t>0057</t>
  </si>
  <si>
    <t xml:space="preserve">SEGURO </t>
  </si>
  <si>
    <t>ago</t>
  </si>
  <si>
    <t>PEDAGIO FRETE  FAZ. IPÊ X FAZ. PALMEIRAS</t>
  </si>
  <si>
    <t>FRETE FAZ. IPÊ X FAZ. PALMEIRAS</t>
  </si>
  <si>
    <t xml:space="preserve">PEDAGIO FRETE  FAZ.OITO PONTAS X FAZ. LARANJAL </t>
  </si>
  <si>
    <t xml:space="preserve">FRETE FAZ.OITO PONTAS X FAZ. LARANJAL </t>
  </si>
  <si>
    <t>PEDAGIO FRETE  FAZ. BARREIRO RICO X FAZ. PRATA</t>
  </si>
  <si>
    <t>FRETE FAZ. BARREIRO RICO X FAZ. PRATA</t>
  </si>
  <si>
    <t xml:space="preserve">PEDAGIO FRETE  FAZ. PRATA X FAZ. CABREÚVA </t>
  </si>
  <si>
    <t xml:space="preserve">FRETE FAZ. PRATA X FAZ. CABREÚVA </t>
  </si>
  <si>
    <t>PEDAGIO FRETE  FAZ. BARREIRO RICO X  FAZ. SANTA MADALENA II</t>
  </si>
  <si>
    <t>FRETE FAZ. BARREIRO RICO  X FAZ. SANTA MADALENA II</t>
  </si>
  <si>
    <t>PEDAGIO FRETE  BARREIRO RICO X TIBIRIÇA</t>
  </si>
  <si>
    <t>FRETE FAZ. BARREIRO RICO X TIBIRIÇA</t>
  </si>
  <si>
    <t>PEDAGIO FRETE FAZ. LIMEIRA X FAZ. PALMEIRAS</t>
  </si>
  <si>
    <t>FRETE FAZ.  LIMEIRA X FAZ. PALMEIRAS</t>
  </si>
  <si>
    <t xml:space="preserve">PEDAGIO FRET FAZ. MADALENA II X FAZ. BARREIRO RICO </t>
  </si>
  <si>
    <t xml:space="preserve">FRETE FAZ. MADALENA II X FAZ. BARREIRO RICO </t>
  </si>
  <si>
    <t>0295</t>
  </si>
  <si>
    <t>BAURU</t>
  </si>
  <si>
    <t>ÁLVARO DE CARVALHO</t>
  </si>
  <si>
    <t>0294</t>
  </si>
  <si>
    <t>0266</t>
  </si>
  <si>
    <t>0275</t>
  </si>
  <si>
    <t>FRETE FAZ. BARREIRO RICO X FAZ. CABREÚVA II</t>
  </si>
  <si>
    <t>PEDAGIO FRETE  BARREIRO RICO X FAZ. CABREÚVA II</t>
  </si>
  <si>
    <t>PEDAGIO FRETE FAZ. NOVO HORIZONTE X FAZ. PVELHA GLEBA A</t>
  </si>
  <si>
    <t>FRETE FAZ. NOVO HORIZONTE X FAZ. PVELHA GLEBA A</t>
  </si>
  <si>
    <t>0541</t>
  </si>
  <si>
    <t>PEDAGIO FRETE FAZENDA MENDES UNIÃO X  FAZ. FLECHA AZUL</t>
  </si>
  <si>
    <t>FRETE  FRETE FAZENDA MENDES UNIÃO X  FAZ. FLECHA AZUL</t>
  </si>
  <si>
    <t>PEDAGIO FRETE  FAZ. ÁGUA FRIA X  FAZ. FLECHA AZUL</t>
  </si>
  <si>
    <t>FRETE  FRETE FAZ. ÁGUA FRIA  X  FAZ. FLECHA AZUL</t>
  </si>
  <si>
    <t>PEDAGIO FRETE   DIVISÃO LENÇÓIS PAULISTA/SP X FAZ. NOVA HORIZONTE</t>
  </si>
  <si>
    <t>FRETE  FRETE  DIVISÃO LENÇÓIS PAULISTA/SP X FAZ. NOVA HORIZONTE</t>
  </si>
  <si>
    <t>PEDAGIO FRETE   FAZ. LAGOA RICA X FAZ. BOA VISTA II</t>
  </si>
  <si>
    <t>FRETE  FRETE FAZ. LAGOA RICA X FAZ. BOA VISTA II</t>
  </si>
  <si>
    <t>PEDAGIO FRETE DIVISÃO LENÇÓIS PAULISTA/SP  X FAZ. NOVA HORIZONTE</t>
  </si>
  <si>
    <t>FRETE  FRETE DIVISÃO LENÇÓIS PAULISTA/SP  X FAZ. NOVA HORIZONTE</t>
  </si>
  <si>
    <t>FRETE  FRETE DIVISÃO LENÇÓIS PAULISTA/SP X FAZ. NOVA HORIZONTE</t>
  </si>
  <si>
    <t>PEDAGIO FRETE FAZ. SÃO BENEDITO III X FAZ. LIMEIRA</t>
  </si>
  <si>
    <t>FRETE  FRETE FAZ. SÃO BENEDITO III X FAZ. LIMEIRA</t>
  </si>
  <si>
    <t>PEDAGIO FRETE  FAZ. SÃO BENEDITO III X FAZ. LIMEIRA</t>
  </si>
  <si>
    <t>0006</t>
  </si>
  <si>
    <t>PRATÂNIA</t>
  </si>
  <si>
    <t>0935</t>
  </si>
  <si>
    <t>AVAÍ</t>
  </si>
  <si>
    <t>ADESIVO EM IMPRESSÃO DIGITAL 21X15</t>
  </si>
  <si>
    <t>ADESIVO POLIMÉRICO COM IMPRESSÃO DIGITAL PARA MODULO E ARÉA  DE VIVÊNCIA 10X,6,5</t>
  </si>
  <si>
    <t>ADESIVO IMPRESSÃO DIGITAL 14X16</t>
  </si>
  <si>
    <t xml:space="preserve">ADESIVO C/ IMPRESSÃO DIGITAL RECORTE DE CONTORNO- KIT ABELHA PADRÃO SILVICULTURA </t>
  </si>
  <si>
    <t>KIT 15 ADESIVOS 4X2 110V/ 220V</t>
  </si>
  <si>
    <t xml:space="preserve">PLACA DE SINALIZAÇÃO- ADVERTÊNCIA </t>
  </si>
  <si>
    <t xml:space="preserve">CAIXA PARA LIXO ORGÂNICO C/ TAMPA </t>
  </si>
  <si>
    <t>BANNER EM LONA- SEGURANÇA- PADRÃO BRACELL</t>
  </si>
  <si>
    <t>MURILO MARTINS</t>
  </si>
  <si>
    <t xml:space="preserve">SUPORTE PARA BANNER </t>
  </si>
  <si>
    <t>ADESIVO- FROTA BTF 16X0,8</t>
  </si>
  <si>
    <t xml:space="preserve">PLACA DE SINALIZAÇÃO ADVERTÊNCIA </t>
  </si>
  <si>
    <t>ADESIVO 24X15</t>
  </si>
  <si>
    <t xml:space="preserve">PEDAGIO FRETE FAZ. SANTA CRUZ V - ITAÍ X FAZ. VELHA GLEBA - ITATINGA </t>
  </si>
  <si>
    <t xml:space="preserve">FRETE FAZ. SANTA CRUZ V - ITAÍ X FAZ. VELHA GLEBA - ITATINGA </t>
  </si>
  <si>
    <t xml:space="preserve">ITATINGA </t>
  </si>
  <si>
    <t>0542</t>
  </si>
  <si>
    <t xml:space="preserve">PEDAGIO FRETE FAZ. PALMEIRAS - CAPÃO BONITO x FAZ. MYADA - PIRAJUI </t>
  </si>
  <si>
    <t xml:space="preserve">FRETE FAZ. PALMEIRAS - CAPÃO BONITO x FAZ. MYADA - PIRAJUI </t>
  </si>
  <si>
    <t>PEDAGIO FRETE FAZ. QUERÊNCIA IV X FAZ. SÃO JOÃO VII - SÃO MIGUEL ARCANJO</t>
  </si>
  <si>
    <t xml:space="preserve"> FRETE FAZ. QUERÊNCIA IV X FAZ. SÃO JOÃO VII - SÃO MIGUEL ARCANJO</t>
  </si>
  <si>
    <t>PEDAGIO FRETE FAZ. MONTE LIBANO X JOHN DEERE - LENÇÓIS PAULISTA</t>
  </si>
  <si>
    <t>FRETE FAZ. MONTE LIBANO X JOHN DEERE - LENÇÓIS PAULISTA</t>
  </si>
  <si>
    <t>PEDAGIO FRETE FAZ. MONTE LIBANO X FAZ. SÃO JOÃO</t>
  </si>
  <si>
    <t>FRETE FAZ. MONTE LIBANO X FAZ. SÃO JOÃO</t>
  </si>
  <si>
    <t>PEDAGIO FRETE PÁTIO BRACELL X FAZ. SANTO ANTONIO VIII</t>
  </si>
  <si>
    <t xml:space="preserve"> FRETE PÁTIO BRACELL X FAZ. SANTO ANTONIO VIII</t>
  </si>
  <si>
    <t xml:space="preserve">LENÇÓIS PAULISTA </t>
  </si>
  <si>
    <t>0374</t>
  </si>
  <si>
    <t>0074</t>
  </si>
  <si>
    <t>MARÍLIA</t>
  </si>
  <si>
    <t>0226</t>
  </si>
  <si>
    <t>0348</t>
  </si>
  <si>
    <t>FAZ. SANTA AMÉLIA X GUAIMBÊ / CAFELÂNDIA X LENÇOIS PTA</t>
  </si>
  <si>
    <t>PEDAGIO FAZ. LAGOA RICA X BOA VISTA 2</t>
  </si>
  <si>
    <t>FRETE FAZ. LAGOA RICA X BOA VISTA 2</t>
  </si>
  <si>
    <t xml:space="preserve">PRANCHAS AGUARDANDO TRATORES FINALIZAR SERVIÇO </t>
  </si>
  <si>
    <t>CONE SINALIZAÇÃO</t>
  </si>
  <si>
    <t xml:space="preserve">CORRENTES METÁLICAS </t>
  </si>
  <si>
    <t xml:space="preserve">CAIXA DE MASSA REFORÇADA </t>
  </si>
  <si>
    <t xml:space="preserve">PLACA SINALIZAÇÃO - MAPAS DE RISCO </t>
  </si>
  <si>
    <t>CAVALETES INDICATIVO DRONE</t>
  </si>
  <si>
    <t xml:space="preserve">PLACA 40X 30 TIPO ESTACA COM CANTONEIRA </t>
  </si>
  <si>
    <t>MEIDSON PEDRO</t>
  </si>
  <si>
    <t xml:space="preserve">KARINE MADRUGA </t>
  </si>
  <si>
    <t xml:space="preserve">GARRAFÃO TÉRMICO DE ÁGUA </t>
  </si>
  <si>
    <t xml:space="preserve">PLACA DE SINALIZAÇÃO INDICATIVA </t>
  </si>
  <si>
    <t>PLACA CAVALETE SEGURANÇA</t>
  </si>
  <si>
    <t xml:space="preserve">PLACA SINALIZAÇÃO ADVERTÊNCIA </t>
  </si>
  <si>
    <t>PLACA SINALIZAÇÃO INDICATIVA</t>
  </si>
  <si>
    <t xml:space="preserve">SERVIÇOS CORRENTES METÁLICAS </t>
  </si>
  <si>
    <t>CAUÊ CASSANO</t>
  </si>
  <si>
    <t xml:space="preserve">PLACA EM ACM-INDICATIVA/ ADVERTÊNCIA </t>
  </si>
  <si>
    <t>PLACA DE SINALIZAÇÃO - INDICATIVA</t>
  </si>
  <si>
    <t>CAVALETE INDICATIVO DE MÓDULO DE CARREGAMENTO</t>
  </si>
  <si>
    <t>ADESIVO EM IMPRESSÃO DIGITAL 20X15</t>
  </si>
  <si>
    <t xml:space="preserve">ADESIVOS POLIMÉRICO COM IMPRESSÃO DIGITAL PARA MÓDULOS E  ÁREA DE VIVÊNCIA </t>
  </si>
  <si>
    <t xml:space="preserve">ADESIVOS PARA PLACAS - 40X 30cm </t>
  </si>
  <si>
    <t>ADESIVOS EM IMPRESSÃO DIGITAL 30X10</t>
  </si>
  <si>
    <t xml:space="preserve">ADESIVOS DIVERSOS </t>
  </si>
  <si>
    <t xml:space="preserve">BANNER EM LONA </t>
  </si>
  <si>
    <t xml:space="preserve">ADESIVO EM IMPRESSÃO  DIGITAL </t>
  </si>
  <si>
    <t xml:space="preserve">ADESIVO RECORTE DE CONTORNO </t>
  </si>
  <si>
    <t xml:space="preserve">ADESIVO DIVERSOS EM IMPRESSÃO </t>
  </si>
  <si>
    <t>PLACA EM ACM INDICATIVA / ADVERTENCIA 40X30</t>
  </si>
  <si>
    <t>PLACA DE SINALIZAÇÃO  INDICATIVA</t>
  </si>
  <si>
    <t>PLACA DE SINALIZAÇÃO - ADVERTENCIA</t>
  </si>
  <si>
    <t>PLACA DE SINALIZAÇÃO  SEGURANÇA</t>
  </si>
  <si>
    <t>PLACA DE SINALIZAÇÃO - ADVERTEÊNCIA</t>
  </si>
  <si>
    <t>BANNER EM LONA- SEGURANÇA - PADRÃO BRACELL</t>
  </si>
  <si>
    <t xml:space="preserve">CAIXA PARA LIXO ORGANICOS C/ TAMPA </t>
  </si>
  <si>
    <t xml:space="preserve">CAVALETES INDICATIVP DE MODULO DE CARREGAMENTO </t>
  </si>
  <si>
    <t xml:space="preserve">ADESIVO EM IMPRESSÃO </t>
  </si>
  <si>
    <t xml:space="preserve">ADESIVOS POLIMÉROS COM IMPRESSÃO </t>
  </si>
  <si>
    <t xml:space="preserve">ADESIVOS COM IMPRESSÃO </t>
  </si>
  <si>
    <t>ACRILICOS FOLHA A4</t>
  </si>
  <si>
    <t>CAVALETE INDICATIVO APLICAÇÃO AGROTÓXICOS</t>
  </si>
  <si>
    <t>CAIXA PARA RESIDUOS E BITUCAS DE CIGARRO</t>
  </si>
  <si>
    <t xml:space="preserve">ADESIVO C/ IMPRESSÃO DIGITAL RECORTE DE CONTORNO </t>
  </si>
  <si>
    <t xml:space="preserve">BANNER EM LONA - SEGURANÇA </t>
  </si>
  <si>
    <t>CAVALETES CONFEC EM CHAPA DE AÇO</t>
  </si>
  <si>
    <t>ADESIVO C/ IMPRESSÃO DIGITAL</t>
  </si>
  <si>
    <t>BANNER EM LONA</t>
  </si>
  <si>
    <t>ADESIVO DESAFIO SILVICULTURA</t>
  </si>
  <si>
    <t>JOSE DRAGO</t>
  </si>
  <si>
    <t>FERNANDO DE JESUS</t>
  </si>
  <si>
    <t>PLACA DE SINALIZAÇÃO- INDICATIVA</t>
  </si>
  <si>
    <t>PLACA SINALIZAÇÃO - ADVERTENCIA</t>
  </si>
  <si>
    <t>PLACA  CAVALETES SEGURANÇA</t>
  </si>
  <si>
    <t>PLACA SINALIZAÇÃO - ADVERTEÊNCIA</t>
  </si>
  <si>
    <t xml:space="preserve">PLACA EM ACM- INDICATIVA ADVERTÊNCIA </t>
  </si>
  <si>
    <t>ADESIVOS DIVERSOS 20X10</t>
  </si>
  <si>
    <t>ADESIVOS EM IMPRESSÃO DIGITAL 30X15</t>
  </si>
  <si>
    <t xml:space="preserve">PLACA DE SINALIZAÇÃO ADVERTENCIA </t>
  </si>
  <si>
    <t>COORDENAÇÃO</t>
  </si>
  <si>
    <t>KARINE MADRUGA</t>
  </si>
  <si>
    <t xml:space="preserve">VINICIUS DUQUE </t>
  </si>
  <si>
    <t>JOSÉ DRAGO</t>
  </si>
  <si>
    <t>TODOS SUPERVISORES</t>
  </si>
  <si>
    <t xml:space="preserve">FERNANDO DE JESUS </t>
  </si>
  <si>
    <t xml:space="preserve">JULIANO DELGADO </t>
  </si>
  <si>
    <t>FAIXA REFLETIVA</t>
  </si>
  <si>
    <t>PÁ DE PRASTICA</t>
  </si>
  <si>
    <t xml:space="preserve">CADEADO </t>
  </si>
  <si>
    <t xml:space="preserve">ACRÍLICO FOLHA A4 </t>
  </si>
  <si>
    <t>CAVALETES EM METALON 20X20X16MM,COM CHAPA DE AÇO REFLETIDA</t>
  </si>
  <si>
    <t>Placa 40x30 tipo estaca com cantoneira</t>
  </si>
  <si>
    <t>SEVIÇOS DE PLACAS DE SINALIZAÇÃO DE ADVERTENCIA</t>
  </si>
  <si>
    <t>ADESIVOS DIVERSOS</t>
  </si>
  <si>
    <t>PLACA EM ACM - INDICATIVA /ADVERTÊNCIA</t>
  </si>
  <si>
    <t>ADESIVOS DIVERSOS -30X20cm</t>
  </si>
  <si>
    <t>CAIXA DE MASSA REFORÇADA 20L PRETA</t>
  </si>
  <si>
    <t>Placa de acrílico 2mm cristal, com dupla face, A4</t>
  </si>
  <si>
    <t>ADESIVOS DIVERSOS - 10X6,5</t>
  </si>
  <si>
    <t>adesivos diversos 20x20cm</t>
  </si>
  <si>
    <t>ADESIVO DEGRAU (UTILIZE OS TRES PONTOS DE APOIO )</t>
  </si>
  <si>
    <t>ADESIVO EM IMPRESSÃO DIGITAL 30X15 cm</t>
  </si>
  <si>
    <t>ADESIVO EM IMPRESSÃO DIGITAL 30X30 cm</t>
  </si>
  <si>
    <t>ADESIVO ABELHA 40X30</t>
  </si>
  <si>
    <t>PLACA DE SINALIZAÇÃO - INDICATIVA(LIXO ORGÂNICO)</t>
  </si>
  <si>
    <t>CAIXA PARA LIXO ORGÂNICO C/ TAMPA - MÓDULO DE COLHEITA</t>
  </si>
  <si>
    <t>PLACA DE SINALIZAÇÃO ADVERTÊNCIA (ÁREA DE FUMANTES)</t>
  </si>
  <si>
    <t>PLACA INDICATIVA - ESTACIONAMENTO</t>
  </si>
  <si>
    <t>ADESIVOS DIVERSOS - 50X15cm</t>
  </si>
  <si>
    <t>ADESIVO DEGRAU (SOMENTE SOLTAR AS MÃOS DOS PONTOS DE APOIO E GRAR O CORPO APÓS ESTAR ESTAR COM OS PÉS APOIADOS NO SOLO )</t>
  </si>
  <si>
    <t>ADESIVO 6X5 DIVERSOS IMPRESSÃO DIGITAL</t>
  </si>
  <si>
    <t>ADESIVOS RECORTE ELETRÔNICO BRANCO REFLETIVO DESTRUTÍVEL 6x6</t>
  </si>
  <si>
    <t>ADESIVOS DIVERSOS 13X8</t>
  </si>
  <si>
    <t>ADESIVO EM IMPRESSÃO DIGITAL 15X10 cm</t>
  </si>
  <si>
    <t>FAIXA REFLETIVA PADRÃO DENATRAN VERMELHO/</t>
  </si>
  <si>
    <t>PLACA DE SINALIZAÇÃO ADVERTÊNCIA (REDE ELÉTRICA)</t>
  </si>
  <si>
    <t>PÁ DE PLÁSTICO CABO Y MADEIRA 79 cm EMPUNHADURA</t>
  </si>
  <si>
    <t>CAVADEIRA ARTICULADA COM CABO</t>
  </si>
  <si>
    <t>ENXADA LARGA 2,5LB COM CABO</t>
  </si>
  <si>
    <t>Pasta Sanfonada DAC A4 Com 12 Divisões</t>
  </si>
  <si>
    <t>ADESIVO EM IMPRESSÃO DIGITAL 20X15cm</t>
  </si>
  <si>
    <t>BANNER EM LONA - SEGURANÇA - PADRÃO BRACELL 1,0 X 1,4 M - COM 12 BOLSAS PLASTICAS COSTURADAS</t>
  </si>
  <si>
    <t>GALÃO TÉRMICO DE ÁGUA 5L.</t>
  </si>
  <si>
    <t>TRENA EMBORRACHADA DE AÇO - AUTOTRAVA - DE BOLSO 8M x 25mm</t>
  </si>
  <si>
    <t>VEJA MULTIUSO</t>
  </si>
  <si>
    <t>DETERGENTE</t>
  </si>
  <si>
    <t>ÁLCOOL EM GEL</t>
  </si>
  <si>
    <t>VASSOURA</t>
  </si>
  <si>
    <t>PÁ PEQUENA</t>
  </si>
  <si>
    <t>SACO DE LIXO - PLÁSTICO - 100 LTS - PCTE COM 1 KG</t>
  </si>
  <si>
    <t>BANNER EM LONA - SEGURANÇA , CAMPANHA, ALERTAS - 0,9 X 1,2 M - COM ACABAMENTO BASTÃO CORDA E PONTEIRA</t>
  </si>
  <si>
    <t>FAIXAS EM IMPRESSÃO DIGITAL , COM ACABAMENTO EM MADEIRA , ILHÓS E PONTEIRA PLÁSTICA E REFORÇO LATERAL</t>
  </si>
  <si>
    <t>TODOS</t>
  </si>
  <si>
    <t>PENDENCIA DO FECHAMENTO ANTERIOR</t>
  </si>
  <si>
    <t>JOÃO DE ASSIS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</si>
</sst>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#,##0.00;[Red]\-&quot;R$&quot;#,##0.00"/>
    <numFmt numFmtId="165" formatCode="000"/>
    <numFmt numFmtId="166" formatCode="dd/mm/yy;@"/>
    <numFmt numFmtId="167" formatCode="mm/yy"/>
    <numFmt numFmtId="168" formatCode="0000"/>
    <numFmt numFmtId="169" formatCode="&quot;R$&quot;\ #,##0.00"/>
  </numFmts>
  <fonts count="3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Times New Roman"/>
      <family val="1"/>
    </font>
    <font>
      <sz val="8"/>
      <color theme="1"/>
      <name val="Times New Roman"/>
      <family val="1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315">
    <xf numFmtId="0" fontId="0" fillId="0" borderId="0" xfId="0"/>
    <xf numFmtId="0" fontId="1" fillId="0" borderId="0" xfId="0" applyFont="1"/>
    <xf numFmtId="166" fontId="1" fillId="0" borderId="0" xfId="0" applyNumberFormat="1" applyFont="1"/>
    <xf numFmtId="44" fontId="1" fillId="0" borderId="0" xfId="2" applyFont="1"/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Fill="1"/>
    <xf numFmtId="0" fontId="6" fillId="0" borderId="0" xfId="0" applyFont="1" applyFill="1"/>
    <xf numFmtId="165" fontId="6" fillId="0" borderId="0" xfId="0" applyNumberFormat="1" applyFont="1" applyFill="1" applyAlignment="1">
      <alignment horizontal="left"/>
    </xf>
    <xf numFmtId="166" fontId="6" fillId="0" borderId="0" xfId="0" applyNumberFormat="1" applyFont="1" applyFill="1" applyAlignment="1">
      <alignment horizontal="left"/>
    </xf>
    <xf numFmtId="167" fontId="6" fillId="0" borderId="0" xfId="0" applyNumberFormat="1" applyFont="1" applyFill="1" applyAlignment="1">
      <alignment horizontal="left"/>
    </xf>
    <xf numFmtId="0" fontId="6" fillId="0" borderId="0" xfId="0" applyFont="1" applyFill="1" applyAlignment="1">
      <alignment horizontal="left"/>
    </xf>
    <xf numFmtId="43" fontId="6" fillId="0" borderId="0" xfId="1" applyFont="1" applyFill="1" applyAlignment="1">
      <alignment horizontal="left"/>
    </xf>
    <xf numFmtId="44" fontId="6" fillId="0" borderId="0" xfId="2" applyFont="1" applyFill="1" applyAlignment="1">
      <alignment horizontal="left"/>
    </xf>
    <xf numFmtId="0" fontId="6" fillId="2" borderId="0" xfId="0" applyFont="1" applyFill="1"/>
    <xf numFmtId="43" fontId="3" fillId="0" borderId="0" xfId="1" applyNumberFormat="1" applyFont="1" applyAlignment="1">
      <alignment horizontal="left"/>
    </xf>
    <xf numFmtId="44" fontId="3" fillId="0" borderId="0" xfId="2" applyNumberFormat="1" applyFont="1" applyAlignment="1">
      <alignment horizontal="left"/>
    </xf>
    <xf numFmtId="0" fontId="3" fillId="3" borderId="0" xfId="0" applyFont="1" applyFill="1" applyAlignment="1">
      <alignment horizontal="left"/>
    </xf>
    <xf numFmtId="43" fontId="3" fillId="3" borderId="0" xfId="1" applyNumberFormat="1" applyFont="1" applyFill="1" applyAlignment="1">
      <alignment horizontal="left"/>
    </xf>
    <xf numFmtId="44" fontId="3" fillId="3" borderId="0" xfId="2" applyNumberFormat="1" applyFont="1" applyFill="1" applyAlignment="1">
      <alignment horizontal="left"/>
    </xf>
    <xf numFmtId="43" fontId="4" fillId="0" borderId="0" xfId="1" applyNumberFormat="1" applyFont="1" applyAlignment="1">
      <alignment horizontal="left"/>
    </xf>
    <xf numFmtId="43" fontId="4" fillId="3" borderId="0" xfId="1" applyNumberFormat="1" applyFont="1" applyFill="1" applyAlignment="1">
      <alignment horizontal="left"/>
    </xf>
    <xf numFmtId="43" fontId="3" fillId="0" borderId="0" xfId="1" applyNumberFormat="1" applyFont="1" applyAlignment="1">
      <alignment horizontal="center" vertical="center"/>
    </xf>
    <xf numFmtId="43" fontId="3" fillId="3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4" borderId="0" xfId="0" applyFont="1" applyFill="1"/>
    <xf numFmtId="0" fontId="3" fillId="0" borderId="0" xfId="0" applyFont="1" applyFill="1" applyAlignment="1">
      <alignment horizontal="left"/>
    </xf>
    <xf numFmtId="0" fontId="0" fillId="0" borderId="0" xfId="0" pivotButton="1"/>
    <xf numFmtId="4" fontId="7" fillId="5" borderId="0" xfId="0" applyNumberFormat="1" applyFont="1" applyFill="1"/>
    <xf numFmtId="165" fontId="1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5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 vertical="center"/>
    </xf>
    <xf numFmtId="4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left"/>
    </xf>
    <xf numFmtId="0" fontId="9" fillId="0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0" fillId="0" borderId="0" xfId="0" applyNumberFormat="1"/>
    <xf numFmtId="166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166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quotePrefix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right" vertical="center"/>
    </xf>
    <xf numFmtId="43" fontId="1" fillId="0" borderId="0" xfId="1" applyFont="1" applyFill="1" applyAlignment="1">
      <alignment horizontal="center" vertical="center"/>
    </xf>
    <xf numFmtId="44" fontId="1" fillId="0" borderId="0" xfId="2" applyNumberFormat="1" applyFont="1" applyFill="1" applyAlignment="1">
      <alignment horizontal="left" vertical="center"/>
    </xf>
    <xf numFmtId="44" fontId="1" fillId="0" borderId="0" xfId="2" applyFont="1" applyFill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left"/>
    </xf>
    <xf numFmtId="43" fontId="1" fillId="0" borderId="0" xfId="1" applyFont="1" applyAlignment="1">
      <alignment horizontal="center" vertical="center"/>
    </xf>
    <xf numFmtId="43" fontId="1" fillId="0" borderId="0" xfId="1" applyFont="1" applyAlignment="1">
      <alignment horizontal="left"/>
    </xf>
    <xf numFmtId="44" fontId="1" fillId="0" borderId="0" xfId="2" applyFont="1" applyAlignment="1">
      <alignment horizontal="left"/>
    </xf>
    <xf numFmtId="165" fontId="1" fillId="0" borderId="0" xfId="0" applyNumberFormat="1" applyFont="1" applyFill="1" applyAlignment="1">
      <alignment horizontal="center" vertical="center"/>
    </xf>
    <xf numFmtId="166" fontId="1" fillId="0" borderId="0" xfId="0" applyNumberFormat="1" applyFont="1" applyFill="1" applyAlignment="1">
      <alignment horizontal="left"/>
    </xf>
    <xf numFmtId="43" fontId="1" fillId="0" borderId="0" xfId="1" applyFont="1" applyFill="1" applyAlignment="1">
      <alignment horizontal="right" vertical="center"/>
    </xf>
    <xf numFmtId="43" fontId="1" fillId="0" borderId="0" xfId="1" applyNumberFormat="1" applyFont="1" applyAlignment="1">
      <alignment horizontal="left"/>
    </xf>
    <xf numFmtId="44" fontId="1" fillId="0" borderId="0" xfId="2" applyFont="1" applyFill="1" applyAlignment="1">
      <alignment horizontal="left"/>
    </xf>
    <xf numFmtId="43" fontId="1" fillId="3" borderId="0" xfId="1" applyNumberFormat="1" applyFont="1" applyFill="1" applyAlignment="1">
      <alignment horizontal="left"/>
    </xf>
    <xf numFmtId="43" fontId="1" fillId="0" borderId="0" xfId="1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44" fontId="1" fillId="0" borderId="0" xfId="2" applyFont="1" applyFill="1" applyAlignment="1">
      <alignment horizontal="center"/>
    </xf>
    <xf numFmtId="44" fontId="1" fillId="0" borderId="0" xfId="2" applyNumberFormat="1" applyFont="1" applyFill="1" applyAlignment="1">
      <alignment horizontal="right"/>
    </xf>
    <xf numFmtId="44" fontId="1" fillId="0" borderId="0" xfId="0" applyNumberFormat="1" applyFont="1" applyAlignment="1">
      <alignment horizontal="right"/>
    </xf>
    <xf numFmtId="44" fontId="1" fillId="0" borderId="0" xfId="0" applyNumberFormat="1" applyFont="1" applyAlignment="1">
      <alignment horizontal="left"/>
    </xf>
    <xf numFmtId="44" fontId="1" fillId="0" borderId="0" xfId="2" applyNumberFormat="1" applyFont="1" applyFill="1" applyAlignment="1">
      <alignment horizontal="left"/>
    </xf>
    <xf numFmtId="0" fontId="1" fillId="0" borderId="0" xfId="0" applyFont="1" applyAlignment="1">
      <alignment vertical="center"/>
    </xf>
    <xf numFmtId="0" fontId="11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43" fontId="1" fillId="0" borderId="0" xfId="1" applyFont="1" applyFill="1" applyAlignment="1">
      <alignment vertical="center"/>
    </xf>
    <xf numFmtId="44" fontId="1" fillId="0" borderId="0" xfId="2" applyNumberFormat="1" applyFont="1" applyFill="1" applyAlignment="1">
      <alignment vertical="center"/>
    </xf>
    <xf numFmtId="44" fontId="1" fillId="0" borderId="0" xfId="2" applyFont="1" applyFill="1" applyAlignment="1"/>
    <xf numFmtId="0" fontId="1" fillId="0" borderId="0" xfId="0" quotePrefix="1" applyFont="1" applyAlignment="1">
      <alignment horizontal="center" vertical="center"/>
    </xf>
    <xf numFmtId="0" fontId="1" fillId="0" borderId="0" xfId="0" applyFont="1" applyFill="1" applyAlignment="1"/>
    <xf numFmtId="0" fontId="11" fillId="0" borderId="0" xfId="0" applyFont="1" applyFill="1" applyAlignment="1"/>
    <xf numFmtId="0" fontId="1" fillId="0" borderId="0" xfId="0" applyFont="1" applyAlignment="1"/>
    <xf numFmtId="44" fontId="1" fillId="0" borderId="0" xfId="0" applyNumberFormat="1" applyFont="1" applyAlignment="1">
      <alignment vertical="center"/>
    </xf>
    <xf numFmtId="0" fontId="1" fillId="0" borderId="0" xfId="0" applyFont="1" applyBorder="1" applyAlignment="1">
      <alignment horizontal="left"/>
    </xf>
    <xf numFmtId="0" fontId="11" fillId="0" borderId="0" xfId="0" applyFont="1" applyFill="1" applyAlignment="1">
      <alignment horizontal="left" vertical="center"/>
    </xf>
    <xf numFmtId="44" fontId="11" fillId="0" borderId="0" xfId="2" applyFont="1" applyFill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168" fontId="13" fillId="0" borderId="0" xfId="0" applyNumberFormat="1" applyFont="1" applyFill="1" applyBorder="1" applyAlignment="1">
      <alignment horizontal="center" vertical="center"/>
    </xf>
    <xf numFmtId="165" fontId="14" fillId="5" borderId="0" xfId="0" applyNumberFormat="1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66" fontId="14" fillId="5" borderId="0" xfId="0" applyNumberFormat="1" applyFont="1" applyFill="1" applyAlignment="1">
      <alignment horizontal="center" vertical="center" wrapText="1"/>
    </xf>
    <xf numFmtId="167" fontId="14" fillId="5" borderId="0" xfId="0" applyNumberFormat="1" applyFont="1" applyFill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44" fontId="14" fillId="5" borderId="0" xfId="2" applyFont="1" applyFill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67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166" fontId="1" fillId="6" borderId="0" xfId="0" applyNumberFormat="1" applyFont="1" applyFill="1" applyAlignment="1">
      <alignment horizontal="left"/>
    </xf>
    <xf numFmtId="0" fontId="0" fillId="0" borderId="0" xfId="0" applyFont="1" applyAlignment="1">
      <alignment horizontal="center" vertical="center"/>
    </xf>
    <xf numFmtId="0" fontId="1" fillId="0" borderId="0" xfId="0" pivotButton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left"/>
    </xf>
    <xf numFmtId="166" fontId="1" fillId="0" borderId="4" xfId="0" applyNumberFormat="1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165" fontId="1" fillId="0" borderId="1" xfId="0" applyNumberFormat="1" applyFont="1" applyFill="1" applyBorder="1" applyAlignment="1">
      <alignment horizontal="center" vertical="center"/>
    </xf>
    <xf numFmtId="166" fontId="1" fillId="0" borderId="2" xfId="0" applyNumberFormat="1" applyFont="1" applyFill="1" applyBorder="1" applyAlignment="1">
      <alignment horizontal="left" vertical="center"/>
    </xf>
    <xf numFmtId="165" fontId="1" fillId="0" borderId="4" xfId="0" applyNumberFormat="1" applyFont="1" applyFill="1" applyBorder="1" applyAlignment="1">
      <alignment horizontal="center" vertical="center"/>
    </xf>
    <xf numFmtId="166" fontId="1" fillId="0" borderId="0" xfId="0" applyNumberFormat="1" applyFont="1" applyFill="1" applyBorder="1" applyAlignment="1">
      <alignment horizontal="left" vertical="center"/>
    </xf>
    <xf numFmtId="165" fontId="1" fillId="0" borderId="6" xfId="0" applyNumberFormat="1" applyFont="1" applyFill="1" applyBorder="1" applyAlignment="1">
      <alignment horizontal="center" vertical="center"/>
    </xf>
    <xf numFmtId="166" fontId="1" fillId="0" borderId="7" xfId="0" applyNumberFormat="1" applyFont="1" applyFill="1" applyBorder="1" applyAlignment="1">
      <alignment horizontal="left" vertical="center"/>
    </xf>
    <xf numFmtId="165" fontId="1" fillId="0" borderId="9" xfId="0" applyNumberFormat="1" applyFont="1" applyFill="1" applyBorder="1" applyAlignment="1">
      <alignment horizontal="center" vertical="center"/>
    </xf>
    <xf numFmtId="166" fontId="1" fillId="0" borderId="10" xfId="0" applyNumberFormat="1" applyFont="1" applyFill="1" applyBorder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left"/>
    </xf>
    <xf numFmtId="165" fontId="1" fillId="0" borderId="4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166" fontId="1" fillId="0" borderId="7" xfId="0" applyNumberFormat="1" applyFont="1" applyBorder="1" applyAlignment="1">
      <alignment horizontal="left"/>
    </xf>
    <xf numFmtId="166" fontId="1" fillId="0" borderId="1" xfId="0" applyNumberFormat="1" applyFont="1" applyBorder="1" applyAlignment="1">
      <alignment horizontal="left"/>
    </xf>
    <xf numFmtId="164" fontId="1" fillId="0" borderId="2" xfId="0" applyNumberFormat="1" applyFont="1" applyFill="1" applyBorder="1" applyAlignment="1">
      <alignment horizontal="left"/>
    </xf>
    <xf numFmtId="166" fontId="1" fillId="0" borderId="4" xfId="0" applyNumberFormat="1" applyFont="1" applyBorder="1" applyAlignment="1">
      <alignment horizontal="left"/>
    </xf>
    <xf numFmtId="165" fontId="1" fillId="0" borderId="9" xfId="0" applyNumberFormat="1" applyFont="1" applyBorder="1" applyAlignment="1">
      <alignment horizontal="center" vertical="center"/>
    </xf>
    <xf numFmtId="0" fontId="1" fillId="0" borderId="1" xfId="0" applyFont="1" applyBorder="1"/>
    <xf numFmtId="8" fontId="1" fillId="0" borderId="2" xfId="0" applyNumberFormat="1" applyFont="1" applyFill="1" applyBorder="1" applyAlignment="1">
      <alignment horizontal="center" vertical="center"/>
    </xf>
    <xf numFmtId="0" fontId="1" fillId="0" borderId="4" xfId="0" applyFont="1" applyBorder="1"/>
    <xf numFmtId="8" fontId="1" fillId="0" borderId="0" xfId="0" applyNumberFormat="1" applyFont="1" applyFill="1" applyBorder="1" applyAlignment="1">
      <alignment horizontal="center" vertical="center"/>
    </xf>
    <xf numFmtId="0" fontId="1" fillId="0" borderId="6" xfId="0" applyFont="1" applyBorder="1"/>
    <xf numFmtId="8" fontId="1" fillId="0" borderId="7" xfId="0" applyNumberFormat="1" applyFont="1" applyFill="1" applyBorder="1" applyAlignment="1">
      <alignment horizontal="center" vertical="center"/>
    </xf>
    <xf numFmtId="0" fontId="1" fillId="0" borderId="7" xfId="0" pivotButton="1" applyFont="1" applyBorder="1" applyAlignment="1">
      <alignment horizontal="left"/>
    </xf>
    <xf numFmtId="0" fontId="1" fillId="0" borderId="2" xfId="0" pivotButton="1" applyFont="1" applyBorder="1" applyAlignment="1">
      <alignment horizontal="left"/>
    </xf>
    <xf numFmtId="14" fontId="1" fillId="0" borderId="1" xfId="0" applyNumberFormat="1" applyFont="1" applyBorder="1"/>
    <xf numFmtId="14" fontId="1" fillId="0" borderId="4" xfId="0" applyNumberFormat="1" applyFont="1" applyBorder="1"/>
    <xf numFmtId="14" fontId="1" fillId="0" borderId="6" xfId="0" applyNumberFormat="1" applyFont="1" applyBorder="1"/>
    <xf numFmtId="0" fontId="1" fillId="0" borderId="9" xfId="0" applyFont="1" applyBorder="1"/>
    <xf numFmtId="8" fontId="1" fillId="0" borderId="10" xfId="0" applyNumberFormat="1" applyFont="1" applyFill="1" applyBorder="1" applyAlignment="1">
      <alignment horizontal="center" vertical="center"/>
    </xf>
    <xf numFmtId="0" fontId="1" fillId="0" borderId="10" xfId="0" pivotButton="1" applyFont="1" applyBorder="1" applyAlignment="1">
      <alignment horizontal="left"/>
    </xf>
    <xf numFmtId="14" fontId="1" fillId="0" borderId="9" xfId="0" applyNumberFormat="1" applyFont="1" applyBorder="1"/>
    <xf numFmtId="0" fontId="16" fillId="0" borderId="0" xfId="0" applyFont="1" applyAlignment="1">
      <alignment horizontal="center" vertical="center"/>
    </xf>
    <xf numFmtId="0" fontId="16" fillId="0" borderId="0" xfId="0" applyFont="1"/>
    <xf numFmtId="0" fontId="17" fillId="0" borderId="0" xfId="0" applyFont="1" applyFill="1" applyBorder="1" applyAlignment="1">
      <alignment horizontal="left"/>
    </xf>
    <xf numFmtId="169" fontId="17" fillId="0" borderId="0" xfId="0" applyNumberFormat="1" applyFont="1" applyFill="1" applyBorder="1" applyAlignment="1">
      <alignment horizontal="left"/>
    </xf>
    <xf numFmtId="169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/>
    <xf numFmtId="8" fontId="16" fillId="0" borderId="0" xfId="0" applyNumberFormat="1" applyFont="1" applyAlignment="1">
      <alignment horizontal="center"/>
    </xf>
    <xf numFmtId="8" fontId="16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Border="1"/>
    <xf numFmtId="0" fontId="16" fillId="0" borderId="12" xfId="0" applyFont="1" applyBorder="1"/>
    <xf numFmtId="0" fontId="16" fillId="0" borderId="0" xfId="0" applyFont="1" applyAlignment="1">
      <alignment horizontal="center"/>
    </xf>
    <xf numFmtId="0" fontId="16" fillId="0" borderId="0" xfId="0" applyFont="1" applyFill="1" applyAlignment="1">
      <alignment horizontal="left"/>
    </xf>
    <xf numFmtId="0" fontId="16" fillId="0" borderId="12" xfId="0" applyFont="1" applyFill="1" applyBorder="1" applyAlignment="1">
      <alignment horizontal="center" vertical="center"/>
    </xf>
    <xf numFmtId="169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indent="1"/>
    </xf>
    <xf numFmtId="0" fontId="17" fillId="0" borderId="0" xfId="0" applyFont="1" applyBorder="1" applyAlignment="1">
      <alignment horizontal="center" vertical="center"/>
    </xf>
    <xf numFmtId="0" fontId="16" fillId="0" borderId="12" xfId="0" applyFont="1" applyFill="1" applyBorder="1"/>
    <xf numFmtId="0" fontId="17" fillId="0" borderId="12" xfId="0" applyFont="1" applyFill="1" applyBorder="1" applyAlignment="1">
      <alignment horizontal="left"/>
    </xf>
    <xf numFmtId="165" fontId="16" fillId="0" borderId="0" xfId="0" applyNumberFormat="1" applyFont="1" applyAlignment="1">
      <alignment horizontal="center" vertical="center"/>
    </xf>
    <xf numFmtId="166" fontId="16" fillId="0" borderId="0" xfId="0" applyNumberFormat="1" applyFont="1"/>
    <xf numFmtId="167" fontId="16" fillId="0" borderId="0" xfId="0" applyNumberFormat="1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left"/>
    </xf>
    <xf numFmtId="44" fontId="16" fillId="0" borderId="0" xfId="2" applyFont="1" applyBorder="1"/>
    <xf numFmtId="0" fontId="16" fillId="0" borderId="0" xfId="0" applyFont="1" applyBorder="1" applyAlignment="1">
      <alignment horizontal="center"/>
    </xf>
    <xf numFmtId="44" fontId="16" fillId="0" borderId="0" xfId="2" applyFont="1"/>
    <xf numFmtId="43" fontId="11" fillId="0" borderId="0" xfId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1" fillId="0" borderId="0" xfId="1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" fillId="0" borderId="0" xfId="0" applyFont="1" applyBorder="1"/>
    <xf numFmtId="0" fontId="16" fillId="0" borderId="0" xfId="0" applyFont="1" applyBorder="1" applyAlignment="1">
      <alignment horizontal="center" vertical="center"/>
    </xf>
    <xf numFmtId="44" fontId="10" fillId="0" borderId="0" xfId="0" applyNumberFormat="1" applyFon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6" fontId="10" fillId="0" borderId="0" xfId="0" applyNumberFormat="1" applyFont="1"/>
    <xf numFmtId="167" fontId="10" fillId="0" borderId="0" xfId="0" applyNumberFormat="1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/>
    </xf>
    <xf numFmtId="44" fontId="10" fillId="0" borderId="0" xfId="2" applyFont="1"/>
    <xf numFmtId="167" fontId="1" fillId="0" borderId="2" xfId="0" applyNumberFormat="1" applyFont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center" vertical="center"/>
    </xf>
    <xf numFmtId="43" fontId="1" fillId="0" borderId="2" xfId="1" applyFont="1" applyFill="1" applyBorder="1" applyAlignment="1">
      <alignment horizontal="center" vertical="center"/>
    </xf>
    <xf numFmtId="44" fontId="1" fillId="0" borderId="2" xfId="2" applyNumberFormat="1" applyFont="1" applyFill="1" applyBorder="1" applyAlignment="1">
      <alignment horizontal="left" vertical="center"/>
    </xf>
    <xf numFmtId="44" fontId="1" fillId="0" borderId="3" xfId="2" applyFont="1" applyFill="1" applyBorder="1" applyAlignment="1">
      <alignment horizontal="center" vertical="center"/>
    </xf>
    <xf numFmtId="167" fontId="1" fillId="0" borderId="0" xfId="0" applyNumberFormat="1" applyFont="1" applyBorder="1" applyAlignment="1">
      <alignment horizontal="center" vertical="center"/>
    </xf>
    <xf numFmtId="43" fontId="1" fillId="0" borderId="0" xfId="1" applyFont="1" applyFill="1" applyBorder="1" applyAlignment="1">
      <alignment horizontal="center" vertical="center"/>
    </xf>
    <xf numFmtId="44" fontId="1" fillId="0" borderId="0" xfId="2" applyNumberFormat="1" applyFont="1" applyFill="1" applyBorder="1" applyAlignment="1">
      <alignment horizontal="left" vertical="center"/>
    </xf>
    <xf numFmtId="44" fontId="1" fillId="0" borderId="5" xfId="2" applyFont="1" applyFill="1" applyBorder="1" applyAlignment="1">
      <alignment horizontal="center" vertical="center"/>
    </xf>
    <xf numFmtId="167" fontId="1" fillId="0" borderId="7" xfId="0" applyNumberFormat="1" applyFont="1" applyBorder="1" applyAlignment="1">
      <alignment horizontal="center" vertical="center"/>
    </xf>
    <xf numFmtId="0" fontId="1" fillId="0" borderId="7" xfId="0" applyFont="1" applyFill="1" applyBorder="1" applyAlignment="1">
      <alignment horizontal="left" vertical="center"/>
    </xf>
    <xf numFmtId="43" fontId="1" fillId="0" borderId="7" xfId="1" applyFont="1" applyFill="1" applyBorder="1" applyAlignment="1">
      <alignment horizontal="center" vertical="center"/>
    </xf>
    <xf numFmtId="44" fontId="1" fillId="0" borderId="7" xfId="2" applyNumberFormat="1" applyFont="1" applyFill="1" applyBorder="1" applyAlignment="1">
      <alignment horizontal="left" vertical="center"/>
    </xf>
    <xf numFmtId="44" fontId="1" fillId="0" borderId="8" xfId="2" applyFont="1" applyFill="1" applyBorder="1" applyAlignment="1">
      <alignment horizontal="center" vertical="center"/>
    </xf>
    <xf numFmtId="167" fontId="1" fillId="0" borderId="10" xfId="0" applyNumberFormat="1" applyFont="1" applyBorder="1" applyAlignment="1">
      <alignment horizontal="center" vertical="center"/>
    </xf>
    <xf numFmtId="0" fontId="1" fillId="0" borderId="10" xfId="0" applyFont="1" applyFill="1" applyBorder="1" applyAlignment="1">
      <alignment horizontal="left" vertical="center"/>
    </xf>
    <xf numFmtId="0" fontId="1" fillId="0" borderId="1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left" vertical="center"/>
    </xf>
    <xf numFmtId="43" fontId="1" fillId="0" borderId="10" xfId="1" applyFont="1" applyFill="1" applyBorder="1" applyAlignment="1">
      <alignment horizontal="center" vertical="center"/>
    </xf>
    <xf numFmtId="44" fontId="1" fillId="0" borderId="10" xfId="2" applyNumberFormat="1" applyFont="1" applyFill="1" applyBorder="1" applyAlignment="1">
      <alignment horizontal="left" vertical="center"/>
    </xf>
    <xf numFmtId="44" fontId="1" fillId="0" borderId="11" xfId="2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7" xfId="0" applyFont="1" applyFill="1" applyBorder="1" applyAlignment="1">
      <alignment horizontal="left"/>
    </xf>
    <xf numFmtId="167" fontId="1" fillId="0" borderId="9" xfId="0" applyNumberFormat="1" applyFont="1" applyBorder="1" applyAlignment="1">
      <alignment horizontal="center" vertical="center"/>
    </xf>
    <xf numFmtId="0" fontId="1" fillId="0" borderId="10" xfId="0" pivotButton="1" applyFont="1" applyFill="1" applyBorder="1" applyAlignment="1">
      <alignment horizontal="center" vertical="center"/>
    </xf>
    <xf numFmtId="0" fontId="1" fillId="0" borderId="0" xfId="0" pivotButton="1" applyFont="1" applyFill="1" applyBorder="1" applyAlignment="1">
      <alignment horizontal="center" vertical="center"/>
    </xf>
    <xf numFmtId="167" fontId="1" fillId="0" borderId="1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44" fontId="1" fillId="0" borderId="0" xfId="2" applyFont="1" applyFill="1" applyBorder="1" applyAlignment="1">
      <alignment horizontal="center" vertical="center"/>
    </xf>
    <xf numFmtId="165" fontId="1" fillId="0" borderId="0" xfId="0" applyNumberFormat="1" applyFont="1" applyBorder="1" applyAlignment="1">
      <alignment horizontal="center" vertical="center"/>
    </xf>
    <xf numFmtId="0" fontId="0" fillId="0" borderId="0" xfId="0" applyFont="1"/>
    <xf numFmtId="44" fontId="1" fillId="4" borderId="0" xfId="2" applyFont="1" applyFill="1" applyBorder="1" applyAlignment="1">
      <alignment horizontal="center" vertical="center"/>
    </xf>
    <xf numFmtId="169" fontId="11" fillId="0" borderId="0" xfId="0" applyNumberFormat="1" applyFont="1"/>
    <xf numFmtId="0" fontId="18" fillId="0" borderId="0" xfId="0" applyFont="1" applyFill="1" applyBorder="1"/>
    <xf numFmtId="0" fontId="18" fillId="0" borderId="0" xfId="0" applyFont="1" applyFill="1" applyBorder="1" applyAlignment="1">
      <alignment horizontal="left"/>
    </xf>
    <xf numFmtId="169" fontId="18" fillId="0" borderId="0" xfId="0" applyNumberFormat="1" applyFont="1" applyFill="1" applyBorder="1"/>
    <xf numFmtId="0" fontId="10" fillId="0" borderId="0" xfId="0" applyFont="1" applyFill="1" applyBorder="1" applyAlignment="1">
      <alignment horizontal="left" indent="1"/>
    </xf>
    <xf numFmtId="169" fontId="10" fillId="0" borderId="0" xfId="0" applyNumberFormat="1" applyFont="1" applyFill="1" applyBorder="1"/>
    <xf numFmtId="0" fontId="10" fillId="0" borderId="0" xfId="0" applyFont="1" applyFill="1"/>
    <xf numFmtId="0" fontId="0" fillId="0" borderId="0" xfId="0" applyFill="1"/>
    <xf numFmtId="0" fontId="1" fillId="0" borderId="0" xfId="0" applyFont="1" applyFill="1"/>
    <xf numFmtId="0" fontId="0" fillId="0" borderId="0" xfId="0" applyAlignment="1">
      <alignment horizontal="left" indent="1"/>
    </xf>
    <xf numFmtId="169" fontId="0" fillId="0" borderId="0" xfId="0" applyNumberFormat="1"/>
    <xf numFmtId="0" fontId="10" fillId="0" borderId="0" xfId="0" pivotButton="1" applyFont="1"/>
    <xf numFmtId="165" fontId="0" fillId="0" borderId="0" xfId="0" applyNumberFormat="1" applyFont="1" applyBorder="1" applyAlignment="1">
      <alignment horizontal="center" vertical="center"/>
    </xf>
    <xf numFmtId="0" fontId="0" fillId="0" borderId="0" xfId="0" applyFont="1" applyBorder="1"/>
    <xf numFmtId="165" fontId="0" fillId="0" borderId="0" xfId="0" applyNumberFormat="1" applyFont="1" applyAlignment="1">
      <alignment horizontal="center" vertical="center"/>
    </xf>
    <xf numFmtId="165" fontId="19" fillId="5" borderId="0" xfId="0" applyNumberFormat="1" applyFont="1" applyFill="1" applyAlignment="1">
      <alignment horizontal="center" vertical="center" wrapText="1"/>
    </xf>
    <xf numFmtId="166" fontId="19" fillId="5" borderId="0" xfId="0" applyNumberFormat="1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69" fontId="21" fillId="0" borderId="0" xfId="0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8" fontId="20" fillId="0" borderId="0" xfId="0" applyNumberFormat="1" applyFont="1" applyAlignment="1">
      <alignment horizontal="center" vertical="center"/>
    </xf>
    <xf numFmtId="8" fontId="20" fillId="0" borderId="0" xfId="0" applyNumberFormat="1" applyFont="1" applyFill="1" applyAlignment="1">
      <alignment horizontal="center" vertical="center"/>
    </xf>
    <xf numFmtId="0" fontId="16" fillId="0" borderId="1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167" fontId="22" fillId="7" borderId="0" xfId="0" applyNumberFormat="1" applyFont="1" applyFill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3" fillId="7" borderId="0" xfId="0" applyFont="1" applyFill="1" applyAlignment="1">
      <alignment horizontal="center" vertical="center" wrapText="1"/>
    </xf>
    <xf numFmtId="44" fontId="22" fillId="7" borderId="0" xfId="2" applyFont="1" applyFill="1" applyAlignment="1">
      <alignment horizontal="center" vertical="center" wrapText="1"/>
    </xf>
    <xf numFmtId="167" fontId="20" fillId="0" borderId="0" xfId="0" applyNumberFormat="1" applyFont="1" applyBorder="1" applyAlignment="1">
      <alignment horizontal="center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8" fontId="20" fillId="0" borderId="0" xfId="0" applyNumberFormat="1" applyFont="1" applyFill="1" applyBorder="1" applyAlignment="1">
      <alignment horizontal="center" vertical="center"/>
    </xf>
    <xf numFmtId="0" fontId="20" fillId="0" borderId="0" xfId="0" applyFont="1" applyBorder="1" applyAlignment="1">
      <alignment horizontal="left"/>
    </xf>
    <xf numFmtId="43" fontId="20" fillId="0" borderId="0" xfId="1" applyFont="1" applyFill="1" applyBorder="1" applyAlignment="1">
      <alignment horizontal="center" vertical="center"/>
    </xf>
    <xf numFmtId="44" fontId="20" fillId="0" borderId="0" xfId="2" applyNumberFormat="1" applyFont="1" applyFill="1" applyBorder="1" applyAlignment="1">
      <alignment horizontal="left" vertical="center"/>
    </xf>
    <xf numFmtId="44" fontId="20" fillId="0" borderId="0" xfId="2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vertical="center"/>
    </xf>
    <xf numFmtId="169" fontId="24" fillId="0" borderId="0" xfId="0" applyNumberFormat="1" applyFont="1"/>
    <xf numFmtId="0" fontId="20" fillId="0" borderId="0" xfId="0" applyFont="1" applyAlignment="1">
      <alignment horizontal="left"/>
    </xf>
    <xf numFmtId="44" fontId="20" fillId="0" borderId="0" xfId="0" applyNumberFormat="1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44" fontId="25" fillId="0" borderId="0" xfId="2" applyFont="1" applyAlignment="1">
      <alignment horizontal="center" vertical="center"/>
    </xf>
    <xf numFmtId="0" fontId="25" fillId="0" borderId="0" xfId="0" applyFont="1"/>
    <xf numFmtId="0" fontId="25" fillId="0" borderId="0" xfId="0" applyFont="1" applyAlignment="1">
      <alignment horizontal="left"/>
    </xf>
    <xf numFmtId="44" fontId="25" fillId="0" borderId="0" xfId="2" applyFont="1"/>
    <xf numFmtId="0" fontId="25" fillId="0" borderId="0" xfId="0" pivotButton="1" applyFont="1"/>
    <xf numFmtId="0" fontId="25" fillId="0" borderId="0" xfId="0" pivotButton="1" applyFont="1" applyAlignment="1">
      <alignment horizontal="center" vertical="center"/>
    </xf>
    <xf numFmtId="0" fontId="25" fillId="0" borderId="0" xfId="0" pivotButton="1" applyFont="1" applyAlignment="1">
      <alignment horizontal="left"/>
    </xf>
    <xf numFmtId="44" fontId="25" fillId="0" borderId="0" xfId="2" pivotButton="1" applyFont="1"/>
    <xf numFmtId="0" fontId="26" fillId="7" borderId="0" xfId="0" applyFont="1" applyFill="1" applyAlignment="1">
      <alignment horizontal="center" vertical="center"/>
    </xf>
    <xf numFmtId="0" fontId="27" fillId="0" borderId="0" xfId="0" applyFont="1" applyAlignment="1">
      <alignment horizontal="left"/>
    </xf>
    <xf numFmtId="169" fontId="27" fillId="0" borderId="0" xfId="0" applyNumberFormat="1" applyFont="1"/>
    <xf numFmtId="0" fontId="27" fillId="0" borderId="0" xfId="0" applyFont="1" applyAlignment="1">
      <alignment horizontal="left" indent="1"/>
    </xf>
    <xf numFmtId="0" fontId="26" fillId="7" borderId="0" xfId="0" applyFont="1" applyFill="1" applyAlignment="1">
      <alignment horizontal="left" vertical="center"/>
    </xf>
    <xf numFmtId="169" fontId="26" fillId="7" borderId="0" xfId="0" applyNumberFormat="1" applyFont="1" applyFill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29" fillId="0" borderId="0" xfId="0" applyFont="1" applyFill="1" applyBorder="1" applyAlignment="1">
      <alignment horizontal="center" vertical="center"/>
    </xf>
    <xf numFmtId="169" fontId="29" fillId="0" borderId="0" xfId="0" applyNumberFormat="1" applyFont="1" applyFill="1" applyBorder="1" applyAlignment="1">
      <alignment horizontal="center" vertical="center"/>
    </xf>
    <xf numFmtId="169" fontId="28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8" fontId="28" fillId="0" borderId="0" xfId="0" applyNumberFormat="1" applyFont="1" applyFill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2" xfId="0" applyFont="1" applyFill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9" fillId="0" borderId="12" xfId="0" applyFont="1" applyFill="1" applyBorder="1" applyAlignment="1">
      <alignment horizontal="center" vertical="center"/>
    </xf>
    <xf numFmtId="0" fontId="28" fillId="0" borderId="13" xfId="0" applyFont="1" applyFill="1" applyBorder="1" applyAlignment="1">
      <alignment horizontal="center" vertical="center"/>
    </xf>
    <xf numFmtId="165" fontId="28" fillId="0" borderId="0" xfId="0" applyNumberFormat="1" applyFont="1" applyAlignment="1">
      <alignment horizontal="center" vertical="center"/>
    </xf>
    <xf numFmtId="166" fontId="28" fillId="0" borderId="0" xfId="0" applyNumberFormat="1" applyFont="1"/>
    <xf numFmtId="167" fontId="28" fillId="0" borderId="0" xfId="0" applyNumberFormat="1" applyFont="1" applyAlignment="1">
      <alignment horizontal="center" vertical="center"/>
    </xf>
    <xf numFmtId="44" fontId="28" fillId="0" borderId="0" xfId="2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44" fontId="28" fillId="0" borderId="0" xfId="2" applyFont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1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26"/>
      </font>
    </dxf>
    <dxf>
      <font>
        <sz val="26"/>
      </font>
    </dxf>
    <dxf>
      <font>
        <sz val="26"/>
      </font>
    </dxf>
    <dxf>
      <font>
        <sz val="26"/>
      </font>
    </dxf>
    <dxf>
      <font>
        <sz val="26"/>
      </font>
    </dxf>
    <dxf>
      <font>
        <sz val="26"/>
      </font>
    </dxf>
    <dxf>
      <font>
        <sz val="26"/>
      </font>
    </dxf>
    <dxf>
      <font>
        <sz val="26"/>
      </font>
    </dxf>
    <dxf>
      <font>
        <sz val="26"/>
      </font>
    </dxf>
    <dxf>
      <font>
        <sz val="26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2"/>
      </font>
    </dxf>
    <dxf>
      <font>
        <sz val="22"/>
      </font>
    </dxf>
    <dxf>
      <font>
        <sz val="22"/>
      </font>
    </dxf>
    <dxf>
      <font>
        <sz val="22"/>
      </font>
    </dxf>
    <dxf>
      <font>
        <sz val="22"/>
      </font>
    </dxf>
    <dxf>
      <font>
        <sz val="22"/>
      </font>
    </dxf>
    <dxf>
      <font>
        <sz val="26"/>
      </font>
    </dxf>
    <dxf>
      <font>
        <sz val="22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0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167" formatCode="mm/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/>
    </dxf>
    <dxf>
      <font>
        <sz val="16"/>
      </font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-0.249977111117893"/>
        </patternFill>
      </fill>
    </dxf>
    <dxf>
      <fill>
        <patternFill patternType="solid">
          <bgColor theme="4" tint="-0.249977111117893"/>
        </patternFill>
      </fill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numFmt numFmtId="169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7" formatCode="mm/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000"/>
      <alignment horizontal="center" vertical="center" textRotation="0" wrapText="0" indent="0" justifyLastLine="0" shrinkToFit="0" readingOrder="0"/>
    </dxf>
    <dxf>
      <fill>
        <patternFill patternType="solid">
          <fgColor rgb="FFFFFF00"/>
          <bgColor rgb="FF000000"/>
        </patternFill>
      </fill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font>
        <b/>
      </font>
    </dxf>
    <dxf>
      <font>
        <color theme="0"/>
      </font>
    </dxf>
    <dxf>
      <fill>
        <patternFill patternType="solid">
          <bgColor theme="8" tint="-0.499984740745262"/>
        </patternFill>
      </fill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20347</xdr:colOff>
      <xdr:row>2</xdr:row>
      <xdr:rowOff>278450</xdr:rowOff>
    </xdr:from>
    <xdr:to>
      <xdr:col>6</xdr:col>
      <xdr:colOff>1200150</xdr:colOff>
      <xdr:row>2</xdr:row>
      <xdr:rowOff>278450</xdr:rowOff>
    </xdr:to>
    <xdr:cxnSp macro="">
      <xdr:nvCxnSpPr>
        <xdr:cNvPr id="6" name="Conector reto 27">
          <a:extLst>
            <a:ext uri="{FF2B5EF4-FFF2-40B4-BE49-F238E27FC236}">
              <a16:creationId xmlns:a16="http://schemas.microsoft.com/office/drawing/2014/main" id="{832DC609-6296-49F1-9C60-8A812AB22621}"/>
            </a:ext>
          </a:extLst>
        </xdr:cNvPr>
        <xdr:cNvCxnSpPr/>
      </xdr:nvCxnSpPr>
      <xdr:spPr>
        <a:xfrm>
          <a:off x="20347" y="564200"/>
          <a:ext cx="5951828" cy="0"/>
        </a:xfrm>
        <a:prstGeom prst="line">
          <a:avLst/>
        </a:prstGeom>
        <a:ln w="28575">
          <a:gradFill flip="none" rotWithShape="1">
            <a:gsLst>
              <a:gs pos="0">
                <a:srgbClr val="ADCC4E"/>
              </a:gs>
              <a:gs pos="44000">
                <a:srgbClr val="A4D55D"/>
              </a:gs>
              <a:gs pos="79000">
                <a:schemeClr val="accent6">
                  <a:lumMod val="30000"/>
                  <a:lumOff val="70000"/>
                  <a:alpha val="0"/>
                </a:schemeClr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57150</xdr:colOff>
      <xdr:row>0</xdr:row>
      <xdr:rowOff>104776</xdr:rowOff>
    </xdr:from>
    <xdr:to>
      <xdr:col>4</xdr:col>
      <xdr:colOff>33605</xdr:colOff>
      <xdr:row>2</xdr:row>
      <xdr:rowOff>190500</xdr:rowOff>
    </xdr:to>
    <xdr:pic>
      <xdr:nvPicPr>
        <xdr:cNvPr id="7" name="Imagem 6" descr="Bracell">
          <a:extLst>
            <a:ext uri="{FF2B5EF4-FFF2-40B4-BE49-F238E27FC236}">
              <a16:creationId xmlns:a16="http://schemas.microsoft.com/office/drawing/2014/main" id="{9DB4E25A-CF4E-46A5-B461-F278DBC0B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04776"/>
          <a:ext cx="1576655" cy="371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20347</xdr:colOff>
      <xdr:row>2</xdr:row>
      <xdr:rowOff>278450</xdr:rowOff>
    </xdr:from>
    <xdr:to>
      <xdr:col>4</xdr:col>
      <xdr:colOff>3086100</xdr:colOff>
      <xdr:row>2</xdr:row>
      <xdr:rowOff>278450</xdr:rowOff>
    </xdr:to>
    <xdr:cxnSp macro="">
      <xdr:nvCxnSpPr>
        <xdr:cNvPr id="2" name="Conector reto 27">
          <a:extLst>
            <a:ext uri="{FF2B5EF4-FFF2-40B4-BE49-F238E27FC236}">
              <a16:creationId xmlns:a16="http://schemas.microsoft.com/office/drawing/2014/main" id="{C4C69446-D142-4B93-84FD-C3197FB62788}"/>
            </a:ext>
          </a:extLst>
        </xdr:cNvPr>
        <xdr:cNvCxnSpPr/>
      </xdr:nvCxnSpPr>
      <xdr:spPr>
        <a:xfrm>
          <a:off x="20347" y="564200"/>
          <a:ext cx="5951828" cy="0"/>
        </a:xfrm>
        <a:prstGeom prst="line">
          <a:avLst/>
        </a:prstGeom>
        <a:ln w="28575">
          <a:gradFill flip="none" rotWithShape="1">
            <a:gsLst>
              <a:gs pos="0">
                <a:srgbClr val="ADCC4E"/>
              </a:gs>
              <a:gs pos="44000">
                <a:srgbClr val="A4D55D"/>
              </a:gs>
              <a:gs pos="79000">
                <a:schemeClr val="accent6">
                  <a:lumMod val="30000"/>
                  <a:lumOff val="70000"/>
                  <a:alpha val="0"/>
                </a:schemeClr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57150</xdr:colOff>
      <xdr:row>0</xdr:row>
      <xdr:rowOff>104776</xdr:rowOff>
    </xdr:from>
    <xdr:to>
      <xdr:col>3</xdr:col>
      <xdr:colOff>900380</xdr:colOff>
      <xdr:row>2</xdr:row>
      <xdr:rowOff>190500</xdr:rowOff>
    </xdr:to>
    <xdr:pic>
      <xdr:nvPicPr>
        <xdr:cNvPr id="3" name="Imagem 2" descr="Bracell">
          <a:extLst>
            <a:ext uri="{FF2B5EF4-FFF2-40B4-BE49-F238E27FC236}">
              <a16:creationId xmlns:a16="http://schemas.microsoft.com/office/drawing/2014/main" id="{695345BD-BBA0-45A3-BC92-AA7DDFA49F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04776"/>
          <a:ext cx="1576655" cy="371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 Ferreira Mesquita" refreshedDate="45532.495094444443" createdVersion="6" refreshedVersion="6" minRefreshableVersion="3" recordCount="606" xr:uid="{802C0851-5AA1-44F6-88EB-1EAF3240F7AE}">
  <cacheSource type="worksheet">
    <worksheetSource name="Table4"/>
  </cacheSource>
  <cacheFields count="22">
    <cacheField name="ID" numFmtId="165">
      <sharedItems containsString="0" containsBlank="1" containsNumber="1" containsInteger="1" minValue="1" maxValue="512" count="4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2"/>
        <n v="164"/>
        <n v="166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6"/>
        <n v="188"/>
        <n v="190"/>
        <n v="192"/>
        <n v="194"/>
        <n v="196"/>
        <n v="212"/>
        <n v="214"/>
        <n v="216"/>
        <n v="218"/>
        <n v="220"/>
        <n v="236"/>
        <n v="238"/>
        <n v="240"/>
        <n v="242"/>
        <n v="244"/>
        <n v="246"/>
        <n v="248"/>
        <n v="250"/>
        <n v="251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40"/>
        <n v="441"/>
        <n v="442"/>
        <n v="443"/>
        <n v="444"/>
        <n v="445"/>
        <m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</sharedItems>
    </cacheField>
    <cacheField name="DATE" numFmtId="166">
      <sharedItems containsSemiMixedTypes="0" containsNonDate="0" containsDate="1" containsString="0" minDate="2023-10-20T00:00:00" maxDate="2024-08-23T00:00:00" count="113">
        <d v="2023-11-17T00:00:00"/>
        <d v="2023-12-15T00:00:00"/>
        <d v="2023-12-17T00:00:00"/>
        <d v="2023-12-20T00:00:00"/>
        <d v="2023-12-22T00:00:00"/>
        <d v="2023-12-23T00:00:00"/>
        <d v="2023-12-29T00:00:00"/>
        <d v="2024-01-02T00:00:00"/>
        <d v="2024-01-05T00:00:00"/>
        <d v="2024-01-06T00:00:00"/>
        <d v="2024-01-08T00:00:00"/>
        <d v="2024-01-09T00:00:00"/>
        <d v="2024-01-10T00:00:00"/>
        <d v="2024-01-11T00:00:00"/>
        <d v="2024-01-15T00:00:00"/>
        <d v="2024-01-16T00:00:00"/>
        <d v="2024-01-18T00:00:00"/>
        <d v="2024-01-19T00:00:00"/>
        <d v="2024-01-12T00:00:00"/>
        <d v="2023-10-20T00:00:00"/>
        <d v="2023-11-20T00:00:00"/>
        <d v="2024-01-23T00:00:00"/>
        <d v="2024-01-20T00:00:00"/>
        <d v="2024-01-27T00:00:00"/>
        <d v="2024-01-29T00:00:00"/>
        <d v="2024-01-30T00:00:00"/>
        <d v="2024-02-07T00:00:00"/>
        <d v="2024-02-02T00:00:00"/>
        <d v="2024-02-08T00:00:00"/>
        <d v="2024-02-13T00:00:00"/>
        <d v="2024-02-14T00:00:00"/>
        <d v="2024-02-16T00:00:00"/>
        <d v="2024-02-17T00:00:00"/>
        <d v="2024-02-20T00:00:00"/>
        <d v="2024-02-22T00:00:00"/>
        <d v="2024-02-23T00:00:00"/>
        <d v="2024-02-24T00:00:00"/>
        <d v="2024-02-27T00:00:00"/>
        <d v="2024-02-28T00:00:00"/>
        <d v="2024-02-29T00:00:00"/>
        <d v="2024-02-21T00:00:00"/>
        <d v="2024-03-03T00:00:00"/>
        <d v="2024-03-05T00:00:00"/>
        <d v="2024-03-06T00:00:00"/>
        <d v="2024-03-07T00:00:00"/>
        <d v="2024-03-09T00:00:00"/>
        <d v="2024-03-10T00:00:00"/>
        <d v="2024-03-02T00:00:00"/>
        <d v="2024-03-04T00:00:00"/>
        <d v="2024-03-08T00:00:00"/>
        <d v="2024-03-11T00:00:00"/>
        <d v="2024-03-15T00:00:00"/>
        <d v="2024-03-19T00:00:00"/>
        <d v="2024-03-20T00:00:00"/>
        <d v="2024-03-13T00:00:00"/>
        <d v="2024-04-20T00:00:00"/>
        <d v="2024-03-22T00:00:00"/>
        <d v="2024-03-23T00:00:00"/>
        <d v="2024-03-24T00:00:00"/>
        <d v="2024-01-13T00:00:00"/>
        <d v="2024-03-26T00:00:00"/>
        <d v="2024-03-25T00:00:00"/>
        <d v="2024-03-30T00:00:00"/>
        <d v="2024-04-04T00:00:00"/>
        <d v="2024-04-05T00:00:00"/>
        <d v="2024-04-06T00:00:00"/>
        <d v="2024-04-02T00:00:00"/>
        <d v="2024-04-07T00:00:00"/>
        <d v="2024-03-28T00:00:00"/>
        <d v="2024-05-15T00:00:00"/>
        <d v="2024-05-16T00:00:00"/>
        <d v="2024-05-17T00:00:00"/>
        <d v="2024-05-01T00:00:00"/>
        <d v="2024-05-09T00:00:00"/>
        <d v="2024-05-21T00:00:00"/>
        <d v="2024-06-03T00:00:00"/>
        <d v="2024-06-12T00:00:00"/>
        <d v="2024-05-31T00:00:00"/>
        <d v="2024-05-27T00:00:00"/>
        <d v="2024-06-22T00:00:00"/>
        <d v="2024-07-01T00:00:00"/>
        <d v="2024-06-28T00:00:00"/>
        <d v="2024-07-02T00:00:00"/>
        <d v="2024-07-03T00:00:00"/>
        <d v="2024-07-04T00:00:00"/>
        <d v="2024-06-14T00:00:00"/>
        <d v="2024-06-15T00:00:00"/>
        <d v="2024-07-11T00:00:00"/>
        <d v="2024-07-13T00:00:00"/>
        <d v="2024-07-14T00:00:00"/>
        <d v="2024-07-23T00:00:00"/>
        <d v="2024-07-16T00:00:00"/>
        <d v="2024-07-17T00:00:00"/>
        <d v="2024-07-18T00:00:00"/>
        <d v="2024-07-21T00:00:00"/>
        <d v="2024-07-26T00:00:00"/>
        <d v="2024-07-29T00:00:00"/>
        <d v="2024-07-30T00:00:00"/>
        <d v="2024-07-31T00:00:00"/>
        <d v="2024-04-29T00:00:00"/>
        <d v="2024-06-26T00:00:00"/>
        <d v="2024-07-25T00:00:00"/>
        <d v="2024-08-02T00:00:00"/>
        <d v="2024-04-24T00:00:00"/>
        <d v="2024-06-13T00:00:00"/>
        <d v="2024-06-10T00:00:00"/>
        <d v="2024-07-12T00:00:00"/>
        <d v="2024-08-08T00:00:00"/>
        <d v="2024-08-13T00:00:00"/>
        <d v="2024-08-17T00:00:00"/>
        <d v="2024-08-01T00:00:00"/>
        <d v="2024-08-21T00:00:00"/>
        <d v="2024-08-22T00:00:00"/>
      </sharedItems>
      <fieldGroup par="19" base="1">
        <rangePr groupBy="months" startDate="2023-10-20T00:00:00" endDate="2024-08-23T00:00:00"/>
        <groupItems count="14">
          <s v="&lt;20/10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8/2024"/>
        </groupItems>
      </fieldGroup>
    </cacheField>
    <cacheField name="REF" numFmtId="167">
      <sharedItems containsSemiMixedTypes="0" containsNonDate="0" containsDate="1" containsString="0" minDate="2023-10-01T00:00:00" maxDate="2915-12-13T00:00:00" count="18">
        <d v="2023-11-01T00:00:00"/>
        <d v="2024-01-01T00:00:00"/>
        <d v="2024-02-01T00:00:00"/>
        <d v="2023-10-01T00:00:00"/>
        <d v="2023-12-01T00:00:00"/>
        <d v="2024-03-01T00:00:00"/>
        <d v="2024-04-01T00:00:00"/>
        <d v="2024-05-01T00:00:00"/>
        <d v="2024-06-01T00:00:00"/>
        <d v="2024-07-01T00:00:00"/>
        <d v="2024-07-02T00:00:00"/>
        <d v="2024-07-03T00:00:00"/>
        <d v="2024-07-04T00:00:00"/>
        <d v="2024-07-05T00:00:00"/>
        <d v="2024-07-06T00:00:00"/>
        <d v="2024-08-01T00:00:00"/>
        <d v="2915-12-12T00:00:00"/>
        <d v="2024-09-01T00:00:00"/>
      </sharedItems>
      <fieldGroup par="21" base="2">
        <rangePr groupBy="months" startDate="2023-10-01T00:00:00" endDate="2915-12-13T00:00:00"/>
        <groupItems count="14">
          <s v="&lt;01/10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3/12/2915"/>
        </groupItems>
      </fieldGroup>
    </cacheField>
    <cacheField name="CLASSIFICATION" numFmtId="0">
      <sharedItems count="11">
        <s v="FRETE PRANCHA"/>
        <s v="FRANQUIA"/>
        <s v="PEDAGIO"/>
        <s v="REEMBOLSO"/>
        <s v="FRETE CAM TRACADO"/>
        <s v="LOC EQUIP"/>
        <s v="PRANCHA/MUNCK"/>
        <s v="SEGURO"/>
        <s v="SERV ESCAVADEIRA"/>
        <s v="SINALIZACAO"/>
        <s v="SEGURO "/>
      </sharedItems>
    </cacheField>
    <cacheField name="RESPONSIBLE" numFmtId="0">
      <sharedItems count="14">
        <s v="CLAUDEMIR MEDEIROS"/>
        <s v="FELIPE GIROTO"/>
        <s v="DENILSON FERNANDES"/>
        <s v="RICHARD SANTOS"/>
        <s v="JOÃO ASSIS"/>
        <s v="JULIANO DELGADO"/>
        <s v="TIAGO ROCHA"/>
        <s v="MARCOS BRAZ"/>
        <s v="FERNANDO OLIVEIRA"/>
        <s v="GIOVANI MACIEL"/>
        <s v="VINICIUS GIACOMETTI"/>
        <s v="CLAUDEMIR MEDEIROS "/>
        <s v="JULIANO" u="1"/>
        <s v="JOAO ASSIS" u="1"/>
      </sharedItems>
    </cacheField>
    <cacheField name="PROVIDER" numFmtId="0">
      <sharedItems count="9">
        <s v="10132182 - MV FLORIANO"/>
        <s v="10002994 - RIACHO FLORESTAL"/>
        <s v="10003743 - NIVALDO CAMILO"/>
        <s v="10132288 - PARAISO TRANSPORTES"/>
        <s v="00000000 - SGF EMFLORA"/>
        <s v="10134542 - K THA TRANSPORTES"/>
        <s v="10129404 - SINALFLORA"/>
        <s v="00000000 - SGF EMFLORA/GERS/GERACAO"/>
        <s v="00000000-LEMAQ"/>
      </sharedItems>
    </cacheField>
    <cacheField name="COD SAP" numFmtId="0">
      <sharedItems containsMixedTypes="1" containsNumber="1" containsInteger="1" minValue="1000238" maxValue="2700618"/>
    </cacheField>
    <cacheField name="DESCRIPTION" numFmtId="0">
      <sharedItems/>
    </cacheField>
    <cacheField name="OBSERVATION" numFmtId="0">
      <sharedItems/>
    </cacheField>
    <cacheField name="CENTER" numFmtId="0">
      <sharedItems containsBlank="1" containsMixedTypes="1" containsNumber="1" containsInteger="1" minValue="571" maxValue="7901"/>
    </cacheField>
    <cacheField name="CITY" numFmtId="0">
      <sharedItems/>
    </cacheField>
    <cacheField name="DEPOSIT" numFmtId="0">
      <sharedItems containsBlank="1" containsMixedTypes="1" containsNumber="1" containsInteger="1" minValue="2035" maxValue="7901"/>
    </cacheField>
    <cacheField name="COST CENTER" numFmtId="0">
      <sharedItems containsSemiMixedTypes="0" containsString="0" containsNumber="1" containsInteger="1" minValue="371011" maxValue="375040"/>
    </cacheField>
    <cacheField name="RC" numFmtId="0">
      <sharedItems containsBlank="1" containsMixedTypes="1" containsNumber="1" containsInteger="1" minValue="1" maxValue="10799376"/>
    </cacheField>
    <cacheField name="QTD" numFmtId="0">
      <sharedItems containsSemiMixedTypes="0" containsString="0" containsNumber="1" minValue="1" maxValue="1693"/>
    </cacheField>
    <cacheField name="UNID" numFmtId="0">
      <sharedItems containsBlank="1"/>
    </cacheField>
    <cacheField name="VALUE" numFmtId="0">
      <sharedItems containsSemiMixedTypes="0" containsString="0" containsNumber="1" minValue="0" maxValue="406352.71600000001"/>
    </cacheField>
    <cacheField name="TOTAL" numFmtId="44">
      <sharedItems containsSemiMixedTypes="0" containsString="0" containsNumber="1" minValue="0" maxValue="406352.71600000001"/>
    </cacheField>
    <cacheField name="Trimestres" numFmtId="0" databaseField="0">
      <fieldGroup base="1">
        <rangePr groupBy="quarters" startDate="2023-10-20T00:00:00" endDate="2024-08-23T00:00:00"/>
        <groupItems count="6">
          <s v="&lt;20/10/2023"/>
          <s v="Trim1"/>
          <s v="Trim2"/>
          <s v="Trim3"/>
          <s v="Trim4"/>
          <s v="&gt;23/08/2024"/>
        </groupItems>
      </fieldGroup>
    </cacheField>
    <cacheField name="Anos" numFmtId="0" databaseField="0">
      <fieldGroup base="1">
        <rangePr groupBy="years" startDate="2023-10-20T00:00:00" endDate="2024-08-23T00:00:00"/>
        <groupItems count="4">
          <s v="&lt;20/10/2023"/>
          <s v="2023"/>
          <s v="2024"/>
          <s v="&gt;23/08/2024"/>
        </groupItems>
      </fieldGroup>
    </cacheField>
    <cacheField name="Trimestres2" numFmtId="0" databaseField="0">
      <fieldGroup base="2">
        <rangePr groupBy="quarters" startDate="2023-10-01T00:00:00" endDate="2915-12-13T00:00:00"/>
        <groupItems count="6">
          <s v="&lt;01/10/2023"/>
          <s v="Trim1"/>
          <s v="Trim2"/>
          <s v="Trim3"/>
          <s v="Trim4"/>
          <s v="&gt;13/12/2915"/>
        </groupItems>
      </fieldGroup>
    </cacheField>
    <cacheField name="Anos2" numFmtId="0" databaseField="0">
      <fieldGroup base="2">
        <rangePr groupBy="years" startDate="2023-10-01T00:00:00" endDate="2915-12-13T00:00:00"/>
        <groupItems count="895">
          <s v="&lt;01/10/2023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2103"/>
          <s v="2104"/>
          <s v="2105"/>
          <s v="2106"/>
          <s v="2107"/>
          <s v="2108"/>
          <s v="2109"/>
          <s v="2110"/>
          <s v="2111"/>
          <s v="2112"/>
          <s v="2113"/>
          <s v="2114"/>
          <s v="2115"/>
          <s v="2116"/>
          <s v="2117"/>
          <s v="2118"/>
          <s v="2119"/>
          <s v="2120"/>
          <s v="2121"/>
          <s v="2122"/>
          <s v="2123"/>
          <s v="2124"/>
          <s v="2125"/>
          <s v="2126"/>
          <s v="2127"/>
          <s v="2128"/>
          <s v="2129"/>
          <s v="2130"/>
          <s v="2131"/>
          <s v="2132"/>
          <s v="2133"/>
          <s v="2134"/>
          <s v="2135"/>
          <s v="2136"/>
          <s v="2137"/>
          <s v="2138"/>
          <s v="2139"/>
          <s v="2140"/>
          <s v="2141"/>
          <s v="2142"/>
          <s v="2143"/>
          <s v="2144"/>
          <s v="2145"/>
          <s v="2146"/>
          <s v="2147"/>
          <s v="2148"/>
          <s v="2149"/>
          <s v="2150"/>
          <s v="2151"/>
          <s v="2152"/>
          <s v="2153"/>
          <s v="2154"/>
          <s v="2155"/>
          <s v="2156"/>
          <s v="2157"/>
          <s v="2158"/>
          <s v="2159"/>
          <s v="2160"/>
          <s v="2161"/>
          <s v="2162"/>
          <s v="2163"/>
          <s v="2164"/>
          <s v="2165"/>
          <s v="2166"/>
          <s v="2167"/>
          <s v="2168"/>
          <s v="2169"/>
          <s v="2170"/>
          <s v="2171"/>
          <s v="2172"/>
          <s v="2173"/>
          <s v="2174"/>
          <s v="2175"/>
          <s v="2176"/>
          <s v="2177"/>
          <s v="2178"/>
          <s v="2179"/>
          <s v="2180"/>
          <s v="2181"/>
          <s v="2182"/>
          <s v="2183"/>
          <s v="2184"/>
          <s v="2185"/>
          <s v="2186"/>
          <s v="2187"/>
          <s v="2188"/>
          <s v="2189"/>
          <s v="2190"/>
          <s v="2191"/>
          <s v="2192"/>
          <s v="2193"/>
          <s v="2194"/>
          <s v="2195"/>
          <s v="2196"/>
          <s v="2197"/>
          <s v="2198"/>
          <s v="2199"/>
          <s v="2200"/>
          <s v="2201"/>
          <s v="2202"/>
          <s v="2203"/>
          <s v="2204"/>
          <s v="2205"/>
          <s v="2206"/>
          <s v="2207"/>
          <s v="2208"/>
          <s v="2209"/>
          <s v="2210"/>
          <s v="2211"/>
          <s v="2212"/>
          <s v="2213"/>
          <s v="2214"/>
          <s v="2215"/>
          <s v="2216"/>
          <s v="2217"/>
          <s v="2218"/>
          <s v="2219"/>
          <s v="2220"/>
          <s v="2221"/>
          <s v="2222"/>
          <s v="2223"/>
          <s v="2224"/>
          <s v="2225"/>
          <s v="2226"/>
          <s v="2227"/>
          <s v="2228"/>
          <s v="2229"/>
          <s v="2230"/>
          <s v="2231"/>
          <s v="2232"/>
          <s v="2233"/>
          <s v="2234"/>
          <s v="2235"/>
          <s v="2236"/>
          <s v="2237"/>
          <s v="2238"/>
          <s v="2239"/>
          <s v="2240"/>
          <s v="2241"/>
          <s v="2242"/>
          <s v="2243"/>
          <s v="2244"/>
          <s v="2245"/>
          <s v="2246"/>
          <s v="2247"/>
          <s v="2248"/>
          <s v="2249"/>
          <s v="2250"/>
          <s v="2251"/>
          <s v="2252"/>
          <s v="2253"/>
          <s v="2254"/>
          <s v="2255"/>
          <s v="2256"/>
          <s v="2257"/>
          <s v="2258"/>
          <s v="2259"/>
          <s v="2260"/>
          <s v="2261"/>
          <s v="2262"/>
          <s v="2263"/>
          <s v="2264"/>
          <s v="2265"/>
          <s v="2266"/>
          <s v="2267"/>
          <s v="2268"/>
          <s v="2269"/>
          <s v="2270"/>
          <s v="2271"/>
          <s v="2272"/>
          <s v="2273"/>
          <s v="2274"/>
          <s v="2275"/>
          <s v="2276"/>
          <s v="2277"/>
          <s v="2278"/>
          <s v="2279"/>
          <s v="2280"/>
          <s v="2281"/>
          <s v="2282"/>
          <s v="2283"/>
          <s v="2284"/>
          <s v="2285"/>
          <s v="2286"/>
          <s v="2287"/>
          <s v="2288"/>
          <s v="2289"/>
          <s v="2290"/>
          <s v="2291"/>
          <s v="2292"/>
          <s v="2293"/>
          <s v="2294"/>
          <s v="2295"/>
          <s v="2296"/>
          <s v="2297"/>
          <s v="2298"/>
          <s v="2299"/>
          <s v="2300"/>
          <s v="2301"/>
          <s v="2302"/>
          <s v="2303"/>
          <s v="2304"/>
          <s v="2305"/>
          <s v="2306"/>
          <s v="2307"/>
          <s v="2308"/>
          <s v="2309"/>
          <s v="2310"/>
          <s v="2311"/>
          <s v="2312"/>
          <s v="2313"/>
          <s v="2314"/>
          <s v="2315"/>
          <s v="2316"/>
          <s v="2317"/>
          <s v="2318"/>
          <s v="2319"/>
          <s v="2320"/>
          <s v="2321"/>
          <s v="2322"/>
          <s v="2323"/>
          <s v="2324"/>
          <s v="2325"/>
          <s v="2326"/>
          <s v="2327"/>
          <s v="2328"/>
          <s v="2329"/>
          <s v="2330"/>
          <s v="2331"/>
          <s v="2332"/>
          <s v="2333"/>
          <s v="2334"/>
          <s v="2335"/>
          <s v="2336"/>
          <s v="2337"/>
          <s v="2338"/>
          <s v="2339"/>
          <s v="2340"/>
          <s v="2341"/>
          <s v="2342"/>
          <s v="2343"/>
          <s v="2344"/>
          <s v="2345"/>
          <s v="2346"/>
          <s v="2347"/>
          <s v="2348"/>
          <s v="2349"/>
          <s v="2350"/>
          <s v="2351"/>
          <s v="2352"/>
          <s v="2353"/>
          <s v="2354"/>
          <s v="2355"/>
          <s v="2356"/>
          <s v="2357"/>
          <s v="2358"/>
          <s v="2359"/>
          <s v="2360"/>
          <s v="2361"/>
          <s v="2362"/>
          <s v="2363"/>
          <s v="2364"/>
          <s v="2365"/>
          <s v="2366"/>
          <s v="2367"/>
          <s v="2368"/>
          <s v="2369"/>
          <s v="2370"/>
          <s v="2371"/>
          <s v="2372"/>
          <s v="2373"/>
          <s v="2374"/>
          <s v="2375"/>
          <s v="2376"/>
          <s v="2377"/>
          <s v="2378"/>
          <s v="2379"/>
          <s v="2380"/>
          <s v="2381"/>
          <s v="2382"/>
          <s v="2383"/>
          <s v="2384"/>
          <s v="2385"/>
          <s v="2386"/>
          <s v="2387"/>
          <s v="2388"/>
          <s v="2389"/>
          <s v="2390"/>
          <s v="2391"/>
          <s v="2392"/>
          <s v="2393"/>
          <s v="2394"/>
          <s v="2395"/>
          <s v="2396"/>
          <s v="2397"/>
          <s v="2398"/>
          <s v="2399"/>
          <s v="2400"/>
          <s v="2401"/>
          <s v="2402"/>
          <s v="2403"/>
          <s v="2404"/>
          <s v="2405"/>
          <s v="2406"/>
          <s v="2407"/>
          <s v="2408"/>
          <s v="2409"/>
          <s v="2410"/>
          <s v="2411"/>
          <s v="2412"/>
          <s v="2413"/>
          <s v="2414"/>
          <s v="2415"/>
          <s v="2416"/>
          <s v="2417"/>
          <s v="2418"/>
          <s v="2419"/>
          <s v="2420"/>
          <s v="2421"/>
          <s v="2422"/>
          <s v="2423"/>
          <s v="2424"/>
          <s v="2425"/>
          <s v="2426"/>
          <s v="2427"/>
          <s v="2428"/>
          <s v="2429"/>
          <s v="2430"/>
          <s v="2431"/>
          <s v="2432"/>
          <s v="2433"/>
          <s v="2434"/>
          <s v="2435"/>
          <s v="2436"/>
          <s v="2437"/>
          <s v="2438"/>
          <s v="2439"/>
          <s v="2440"/>
          <s v="2441"/>
          <s v="2442"/>
          <s v="2443"/>
          <s v="2444"/>
          <s v="2445"/>
          <s v="2446"/>
          <s v="2447"/>
          <s v="2448"/>
          <s v="2449"/>
          <s v="2450"/>
          <s v="2451"/>
          <s v="2452"/>
          <s v="2453"/>
          <s v="2454"/>
          <s v="2455"/>
          <s v="2456"/>
          <s v="2457"/>
          <s v="2458"/>
          <s v="2459"/>
          <s v="2460"/>
          <s v="2461"/>
          <s v="2462"/>
          <s v="2463"/>
          <s v="2464"/>
          <s v="2465"/>
          <s v="2466"/>
          <s v="2467"/>
          <s v="2468"/>
          <s v="2469"/>
          <s v="2470"/>
          <s v="2471"/>
          <s v="2472"/>
          <s v="2473"/>
          <s v="2474"/>
          <s v="2475"/>
          <s v="2476"/>
          <s v="2477"/>
          <s v="2478"/>
          <s v="2479"/>
          <s v="2480"/>
          <s v="2481"/>
          <s v="2482"/>
          <s v="2483"/>
          <s v="2484"/>
          <s v="2485"/>
          <s v="2486"/>
          <s v="2487"/>
          <s v="2488"/>
          <s v="2489"/>
          <s v="2490"/>
          <s v="2491"/>
          <s v="2492"/>
          <s v="2493"/>
          <s v="2494"/>
          <s v="2495"/>
          <s v="2496"/>
          <s v="2497"/>
          <s v="2498"/>
          <s v="2499"/>
          <s v="2500"/>
          <s v="2501"/>
          <s v="2502"/>
          <s v="2503"/>
          <s v="2504"/>
          <s v="2505"/>
          <s v="2506"/>
          <s v="2507"/>
          <s v="2508"/>
          <s v="2509"/>
          <s v="2510"/>
          <s v="2511"/>
          <s v="2512"/>
          <s v="2513"/>
          <s v="2514"/>
          <s v="2515"/>
          <s v="2516"/>
          <s v="2517"/>
          <s v="2518"/>
          <s v="2519"/>
          <s v="2520"/>
          <s v="2521"/>
          <s v="2522"/>
          <s v="2523"/>
          <s v="2524"/>
          <s v="2525"/>
          <s v="2526"/>
          <s v="2527"/>
          <s v="2528"/>
          <s v="2529"/>
          <s v="2530"/>
          <s v="2531"/>
          <s v="2532"/>
          <s v="2533"/>
          <s v="2534"/>
          <s v="2535"/>
          <s v="2536"/>
          <s v="2537"/>
          <s v="2538"/>
          <s v="2539"/>
          <s v="2540"/>
          <s v="2541"/>
          <s v="2542"/>
          <s v="2543"/>
          <s v="2544"/>
          <s v="2545"/>
          <s v="2546"/>
          <s v="2547"/>
          <s v="2548"/>
          <s v="2549"/>
          <s v="2550"/>
          <s v="2551"/>
          <s v="2552"/>
          <s v="2553"/>
          <s v="2554"/>
          <s v="2555"/>
          <s v="2556"/>
          <s v="2557"/>
          <s v="2558"/>
          <s v="2559"/>
          <s v="2560"/>
          <s v="2561"/>
          <s v="2562"/>
          <s v="2563"/>
          <s v="2564"/>
          <s v="2565"/>
          <s v="2566"/>
          <s v="2567"/>
          <s v="2568"/>
          <s v="2569"/>
          <s v="2570"/>
          <s v="2571"/>
          <s v="2572"/>
          <s v="2573"/>
          <s v="2574"/>
          <s v="2575"/>
          <s v="2576"/>
          <s v="2577"/>
          <s v="2578"/>
          <s v="2579"/>
          <s v="2580"/>
          <s v="2581"/>
          <s v="2582"/>
          <s v="2583"/>
          <s v="2584"/>
          <s v="2585"/>
          <s v="2586"/>
          <s v="2587"/>
          <s v="2588"/>
          <s v="2589"/>
          <s v="2590"/>
          <s v="2591"/>
          <s v="2592"/>
          <s v="2593"/>
          <s v="2594"/>
          <s v="2595"/>
          <s v="2596"/>
          <s v="2597"/>
          <s v="2598"/>
          <s v="2599"/>
          <s v="2600"/>
          <s v="2601"/>
          <s v="2602"/>
          <s v="2603"/>
          <s v="2604"/>
          <s v="2605"/>
          <s v="2606"/>
          <s v="2607"/>
          <s v="2608"/>
          <s v="2609"/>
          <s v="2610"/>
          <s v="2611"/>
          <s v="2612"/>
          <s v="2613"/>
          <s v="2614"/>
          <s v="2615"/>
          <s v="2616"/>
          <s v="2617"/>
          <s v="2618"/>
          <s v="2619"/>
          <s v="2620"/>
          <s v="2621"/>
          <s v="2622"/>
          <s v="2623"/>
          <s v="2624"/>
          <s v="2625"/>
          <s v="2626"/>
          <s v="2627"/>
          <s v="2628"/>
          <s v="2629"/>
          <s v="2630"/>
          <s v="2631"/>
          <s v="2632"/>
          <s v="2633"/>
          <s v="2634"/>
          <s v="2635"/>
          <s v="2636"/>
          <s v="2637"/>
          <s v="2638"/>
          <s v="2639"/>
          <s v="2640"/>
          <s v="2641"/>
          <s v="2642"/>
          <s v="2643"/>
          <s v="2644"/>
          <s v="2645"/>
          <s v="2646"/>
          <s v="2647"/>
          <s v="2648"/>
          <s v="2649"/>
          <s v="2650"/>
          <s v="2651"/>
          <s v="2652"/>
          <s v="2653"/>
          <s v="2654"/>
          <s v="2655"/>
          <s v="2656"/>
          <s v="2657"/>
          <s v="2658"/>
          <s v="2659"/>
          <s v="2660"/>
          <s v="2661"/>
          <s v="2662"/>
          <s v="2663"/>
          <s v="2664"/>
          <s v="2665"/>
          <s v="2666"/>
          <s v="2667"/>
          <s v="2668"/>
          <s v="2669"/>
          <s v="2670"/>
          <s v="2671"/>
          <s v="2672"/>
          <s v="2673"/>
          <s v="2674"/>
          <s v="2675"/>
          <s v="2676"/>
          <s v="2677"/>
          <s v="2678"/>
          <s v="2679"/>
          <s v="2680"/>
          <s v="2681"/>
          <s v="2682"/>
          <s v="2683"/>
          <s v="2684"/>
          <s v="2685"/>
          <s v="2686"/>
          <s v="2687"/>
          <s v="2688"/>
          <s v="2689"/>
          <s v="2690"/>
          <s v="2691"/>
          <s v="2692"/>
          <s v="2693"/>
          <s v="2694"/>
          <s v="2695"/>
          <s v="2696"/>
          <s v="2697"/>
          <s v="2698"/>
          <s v="2699"/>
          <s v="2700"/>
          <s v="2701"/>
          <s v="2702"/>
          <s v="2703"/>
          <s v="2704"/>
          <s v="2705"/>
          <s v="2706"/>
          <s v="2707"/>
          <s v="2708"/>
          <s v="2709"/>
          <s v="2710"/>
          <s v="2711"/>
          <s v="2712"/>
          <s v="2713"/>
          <s v="2714"/>
          <s v="2715"/>
          <s v="2716"/>
          <s v="2717"/>
          <s v="2718"/>
          <s v="2719"/>
          <s v="2720"/>
          <s v="2721"/>
          <s v="2722"/>
          <s v="2723"/>
          <s v="2724"/>
          <s v="2725"/>
          <s v="2726"/>
          <s v="2727"/>
          <s v="2728"/>
          <s v="2729"/>
          <s v="2730"/>
          <s v="2731"/>
          <s v="2732"/>
          <s v="2733"/>
          <s v="2734"/>
          <s v="2735"/>
          <s v="2736"/>
          <s v="2737"/>
          <s v="2738"/>
          <s v="2739"/>
          <s v="2740"/>
          <s v="2741"/>
          <s v="2742"/>
          <s v="2743"/>
          <s v="2744"/>
          <s v="2745"/>
          <s v="2746"/>
          <s v="2747"/>
          <s v="2748"/>
          <s v="2749"/>
          <s v="2750"/>
          <s v="2751"/>
          <s v="2752"/>
          <s v="2753"/>
          <s v="2754"/>
          <s v="2755"/>
          <s v="2756"/>
          <s v="2757"/>
          <s v="2758"/>
          <s v="2759"/>
          <s v="2760"/>
          <s v="2761"/>
          <s v="2762"/>
          <s v="2763"/>
          <s v="2764"/>
          <s v="2765"/>
          <s v="2766"/>
          <s v="2767"/>
          <s v="2768"/>
          <s v="2769"/>
          <s v="2770"/>
          <s v="2771"/>
          <s v="2772"/>
          <s v="2773"/>
          <s v="2774"/>
          <s v="2775"/>
          <s v="2776"/>
          <s v="2777"/>
          <s v="2778"/>
          <s v="2779"/>
          <s v="2780"/>
          <s v="2781"/>
          <s v="2782"/>
          <s v="2783"/>
          <s v="2784"/>
          <s v="2785"/>
          <s v="2786"/>
          <s v="2787"/>
          <s v="2788"/>
          <s v="2789"/>
          <s v="2790"/>
          <s v="2791"/>
          <s v="2792"/>
          <s v="2793"/>
          <s v="2794"/>
          <s v="2795"/>
          <s v="2796"/>
          <s v="2797"/>
          <s v="2798"/>
          <s v="2799"/>
          <s v="2800"/>
          <s v="2801"/>
          <s v="2802"/>
          <s v="2803"/>
          <s v="2804"/>
          <s v="2805"/>
          <s v="2806"/>
          <s v="2807"/>
          <s v="2808"/>
          <s v="2809"/>
          <s v="2810"/>
          <s v="2811"/>
          <s v="2812"/>
          <s v="2813"/>
          <s v="2814"/>
          <s v="2815"/>
          <s v="2816"/>
          <s v="2817"/>
          <s v="2818"/>
          <s v="2819"/>
          <s v="2820"/>
          <s v="2821"/>
          <s v="2822"/>
          <s v="2823"/>
          <s v="2824"/>
          <s v="2825"/>
          <s v="2826"/>
          <s v="2827"/>
          <s v="2828"/>
          <s v="2829"/>
          <s v="2830"/>
          <s v="2831"/>
          <s v="2832"/>
          <s v="2833"/>
          <s v="2834"/>
          <s v="2835"/>
          <s v="2836"/>
          <s v="2837"/>
          <s v="2838"/>
          <s v="2839"/>
          <s v="2840"/>
          <s v="2841"/>
          <s v="2842"/>
          <s v="2843"/>
          <s v="2844"/>
          <s v="2845"/>
          <s v="2846"/>
          <s v="2847"/>
          <s v="2848"/>
          <s v="2849"/>
          <s v="2850"/>
          <s v="2851"/>
          <s v="2852"/>
          <s v="2853"/>
          <s v="2854"/>
          <s v="2855"/>
          <s v="2856"/>
          <s v="2857"/>
          <s v="2858"/>
          <s v="2859"/>
          <s v="2860"/>
          <s v="2861"/>
          <s v="2862"/>
          <s v="2863"/>
          <s v="2864"/>
          <s v="2865"/>
          <s v="2866"/>
          <s v="2867"/>
          <s v="2868"/>
          <s v="2869"/>
          <s v="2870"/>
          <s v="2871"/>
          <s v="2872"/>
          <s v="2873"/>
          <s v="2874"/>
          <s v="2875"/>
          <s v="2876"/>
          <s v="2877"/>
          <s v="2878"/>
          <s v="2879"/>
          <s v="2880"/>
          <s v="2881"/>
          <s v="2882"/>
          <s v="2883"/>
          <s v="2884"/>
          <s v="2885"/>
          <s v="2886"/>
          <s v="2887"/>
          <s v="2888"/>
          <s v="2889"/>
          <s v="2890"/>
          <s v="2891"/>
          <s v="2892"/>
          <s v="2893"/>
          <s v="2894"/>
          <s v="2895"/>
          <s v="2896"/>
          <s v="2897"/>
          <s v="2898"/>
          <s v="2899"/>
          <s v="2900"/>
          <s v="2901"/>
          <s v="2902"/>
          <s v="2903"/>
          <s v="2904"/>
          <s v="2905"/>
          <s v="2906"/>
          <s v="2907"/>
          <s v="2908"/>
          <s v="2909"/>
          <s v="2910"/>
          <s v="2911"/>
          <s v="2912"/>
          <s v="2913"/>
          <s v="2914"/>
          <s v="2915"/>
          <s v="&gt;13/12/29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 Ferreira Mesquita" refreshedDate="45575.509166666663" createdVersion="6" refreshedVersion="6" minRefreshableVersion="3" recordCount="657" xr:uid="{318834BC-E26F-468D-BF69-960F81B45C73}">
  <cacheSource type="worksheet">
    <worksheetSource name="Table4"/>
  </cacheSource>
  <cacheFields count="18">
    <cacheField name="ID" numFmtId="165">
      <sharedItems containsString="0" containsBlank="1" containsNumber="1" containsInteger="1" minValue="1" maxValue="512"/>
    </cacheField>
    <cacheField name="DATE" numFmtId="166">
      <sharedItems containsNonDate="0" containsDate="1" containsString="0" containsBlank="1" minDate="2023-10-20T00:00:00" maxDate="2024-09-22T00:00:00" count="125">
        <d v="2023-11-17T00:00:00"/>
        <d v="2023-12-15T00:00:00"/>
        <d v="2023-12-17T00:00:00"/>
        <d v="2023-12-20T00:00:00"/>
        <d v="2023-12-22T00:00:00"/>
        <d v="2023-12-23T00:00:00"/>
        <d v="2023-12-29T00:00:00"/>
        <d v="2024-01-02T00:00:00"/>
        <d v="2024-01-05T00:00:00"/>
        <d v="2024-01-06T00:00:00"/>
        <d v="2024-01-08T00:00:00"/>
        <d v="2024-01-09T00:00:00"/>
        <d v="2024-01-10T00:00:00"/>
        <d v="2024-01-11T00:00:00"/>
        <d v="2024-01-15T00:00:00"/>
        <d v="2024-01-16T00:00:00"/>
        <d v="2024-01-18T00:00:00"/>
        <d v="2024-01-19T00:00:00"/>
        <d v="2024-01-12T00:00:00"/>
        <d v="2023-10-20T00:00:00"/>
        <d v="2023-11-20T00:00:00"/>
        <d v="2024-01-23T00:00:00"/>
        <d v="2024-01-20T00:00:00"/>
        <d v="2024-01-27T00:00:00"/>
        <d v="2024-01-29T00:00:00"/>
        <d v="2024-01-30T00:00:00"/>
        <d v="2024-02-07T00:00:00"/>
        <d v="2024-02-02T00:00:00"/>
        <d v="2024-02-08T00:00:00"/>
        <d v="2024-02-13T00:00:00"/>
        <d v="2024-02-14T00:00:00"/>
        <d v="2024-02-16T00:00:00"/>
        <d v="2024-02-17T00:00:00"/>
        <d v="2024-02-20T00:00:00"/>
        <d v="2024-02-22T00:00:00"/>
        <d v="2024-02-23T00:00:00"/>
        <d v="2024-02-24T00:00:00"/>
        <d v="2024-02-27T00:00:00"/>
        <d v="2024-02-28T00:00:00"/>
        <d v="2024-02-29T00:00:00"/>
        <d v="2024-02-21T00:00:00"/>
        <d v="2024-03-03T00:00:00"/>
        <d v="2024-03-05T00:00:00"/>
        <d v="2024-03-06T00:00:00"/>
        <d v="2024-03-07T00:00:00"/>
        <d v="2024-03-09T00:00:00"/>
        <d v="2024-03-10T00:00:00"/>
        <d v="2024-03-02T00:00:00"/>
        <d v="2024-03-04T00:00:00"/>
        <d v="2024-03-08T00:00:00"/>
        <d v="2024-03-11T00:00:00"/>
        <d v="2024-03-15T00:00:00"/>
        <d v="2024-03-19T00:00:00"/>
        <d v="2024-03-20T00:00:00"/>
        <d v="2024-03-13T00:00:00"/>
        <d v="2024-04-20T00:00:00"/>
        <d v="2024-03-22T00:00:00"/>
        <d v="2024-03-23T00:00:00"/>
        <d v="2024-03-24T00:00:00"/>
        <d v="2024-01-13T00:00:00"/>
        <d v="2024-03-26T00:00:00"/>
        <d v="2024-03-25T00:00:00"/>
        <d v="2024-03-30T00:00:00"/>
        <d v="2024-04-04T00:00:00"/>
        <d v="2024-04-05T00:00:00"/>
        <d v="2024-04-06T00:00:00"/>
        <d v="2024-04-02T00:00:00"/>
        <d v="2024-04-07T00:00:00"/>
        <d v="2024-03-28T00:00:00"/>
        <d v="2024-05-15T00:00:00"/>
        <d v="2024-05-16T00:00:00"/>
        <d v="2024-05-17T00:00:00"/>
        <d v="2024-05-01T00:00:00"/>
        <d v="2024-05-09T00:00:00"/>
        <d v="2024-05-21T00:00:00"/>
        <d v="2024-06-03T00:00:00"/>
        <d v="2024-06-12T00:00:00"/>
        <d v="2024-05-31T00:00:00"/>
        <d v="2024-05-27T00:00:00"/>
        <d v="2024-06-22T00:00:00"/>
        <d v="2024-07-01T00:00:00"/>
        <d v="2024-06-28T00:00:00"/>
        <d v="2024-07-02T00:00:00"/>
        <d v="2024-07-03T00:00:00"/>
        <d v="2024-07-04T00:00:00"/>
        <d v="2024-06-14T00:00:00"/>
        <d v="2024-06-15T00:00:00"/>
        <d v="2024-07-11T00:00:00"/>
        <d v="2024-07-13T00:00:00"/>
        <d v="2024-07-14T00:00:00"/>
        <d v="2024-07-23T00:00:00"/>
        <d v="2024-07-16T00:00:00"/>
        <d v="2024-07-17T00:00:00"/>
        <d v="2024-07-18T00:00:00"/>
        <d v="2024-07-21T00:00:00"/>
        <d v="2024-07-26T00:00:00"/>
        <d v="2024-07-29T00:00:00"/>
        <d v="2024-07-30T00:00:00"/>
        <d v="2024-07-31T00:00:00"/>
        <d v="2024-04-29T00:00:00"/>
        <d v="2024-06-26T00:00:00"/>
        <d v="2024-07-25T00:00:00"/>
        <d v="2024-08-02T00:00:00"/>
        <d v="2024-04-24T00:00:00"/>
        <d v="2024-06-13T00:00:00"/>
        <d v="2024-06-10T00:00:00"/>
        <d v="2024-07-12T00:00:00"/>
        <d v="2024-08-08T00:00:00"/>
        <d v="2024-08-13T00:00:00"/>
        <d v="2024-08-17T00:00:00"/>
        <d v="2024-08-01T00:00:00"/>
        <d v="2024-08-21T00:00:00"/>
        <d v="2024-08-22T00:00:00"/>
        <d v="2024-09-06T00:00:00"/>
        <d v="2024-08-27T00:00:00"/>
        <d v="2024-09-14T00:00:00"/>
        <d v="2024-08-28T00:00:00"/>
        <m/>
        <d v="2024-09-20T00:00:00"/>
        <d v="2024-09-21T00:00:00"/>
        <d v="2024-09-11T00:00:00"/>
        <d v="2024-09-12T00:00:00"/>
        <d v="2024-09-13T00:00:00"/>
        <d v="2024-09-16T00:00:00"/>
        <d v="2024-08-23T00:00:00"/>
      </sharedItems>
    </cacheField>
    <cacheField name="REF" numFmtId="167">
      <sharedItems containsSemiMixedTypes="0" containsNonDate="0" containsDate="1" containsString="0" minDate="2023-10-01T00:00:00" maxDate="2915-12-13T00:00:00" count="22">
        <d v="2023-11-01T00:00:00"/>
        <d v="2024-01-01T00:00:00"/>
        <d v="2024-02-01T00:00:00"/>
        <d v="2023-10-01T00:00:00"/>
        <d v="2023-12-01T00:00:00"/>
        <d v="2024-03-01T00:00:00"/>
        <d v="2024-04-01T00:00:00"/>
        <d v="2024-05-01T00:00:00"/>
        <d v="2024-06-01T00:00:00"/>
        <d v="2024-07-01T00:00:00"/>
        <d v="2024-07-02T00:00:00"/>
        <d v="2024-07-03T00:00:00"/>
        <d v="2024-07-04T00:00:00"/>
        <d v="2024-07-05T00:00:00"/>
        <d v="2024-07-06T00:00:00"/>
        <d v="2024-08-01T00:00:00"/>
        <d v="2915-12-12T00:00:00"/>
        <d v="2024-09-01T00:00:00"/>
        <d v="2024-09-02T00:00:00"/>
        <d v="2024-09-03T00:00:00"/>
        <d v="2024-09-04T00:00:00"/>
        <d v="2024-09-05T00:00:00"/>
      </sharedItems>
    </cacheField>
    <cacheField name="CLASSIFICATION" numFmtId="0">
      <sharedItems containsBlank="1" count="13">
        <s v="FRETE PRANCHA"/>
        <s v="FRANQUIA"/>
        <s v="PEDAGIO"/>
        <s v="REEMBOLSO"/>
        <s v="FRETE CAM TRACADO"/>
        <s v="LOC EQUIP"/>
        <s v="PRANCHA/MUNCK"/>
        <s v="SEGURO"/>
        <s v="SERV ESCAVADEIRA"/>
        <s v="SINALIZACAO"/>
        <s v="SERV DESP HORAS"/>
        <s v="SEGURO "/>
        <m u="1"/>
      </sharedItems>
    </cacheField>
    <cacheField name="RESPONSIBLE" numFmtId="0">
      <sharedItems containsBlank="1" count="14">
        <s v="CLAUDEMIR MEDEIROS"/>
        <s v="FELIPE GIROTO"/>
        <s v="DENILSON FERNANDES"/>
        <s v="RICHARD SANTOS"/>
        <s v="JOÃO ASSIS"/>
        <s v="JULIANO DELGADO"/>
        <s v="TIAGO ROCHA"/>
        <s v="MARCOS BRAZ"/>
        <s v="FERNANDO OLIVEIRA"/>
        <s v="GIOVANI MACIEL"/>
        <s v="VINICIUS GIACOMETTI"/>
        <s v="CLAUDEMIR MEDEIROS "/>
        <m/>
        <s v="MURILO MARTINS"/>
      </sharedItems>
    </cacheField>
    <cacheField name="PROVIDER" numFmtId="0">
      <sharedItems containsBlank="1" count="11">
        <s v="10132182 - MV FLORIANO"/>
        <s v="10002994 - RIACHO FLORESTAL"/>
        <s v="10003743 - NIVALDO CAMILO"/>
        <s v="10132288 - PARAISO TRANSPORTES"/>
        <s v="00000000 - SGF EMFLORA"/>
        <s v="10134542 - K THA TRANSPORTES"/>
        <s v="10129404 - SINALFLORA"/>
        <s v="00000000 - SGF EMFLORA/GERS/GERACAO"/>
        <s v="00000000-LEMAQ"/>
        <m u="1"/>
        <s v="00000000- KTHA" u="1"/>
      </sharedItems>
    </cacheField>
    <cacheField name="COD SAP" numFmtId="0">
      <sharedItems containsMixedTypes="1" containsNumber="1" containsInteger="1" minValue="1000238" maxValue="2700618"/>
    </cacheField>
    <cacheField name="DESCRIPTION" numFmtId="0">
      <sharedItems/>
    </cacheField>
    <cacheField name="OBSERVATION" numFmtId="0">
      <sharedItems/>
    </cacheField>
    <cacheField name="CENTER" numFmtId="0">
      <sharedItems containsBlank="1" containsMixedTypes="1" containsNumber="1" containsInteger="1" minValue="571" maxValue="7901"/>
    </cacheField>
    <cacheField name="CITY" numFmtId="0">
      <sharedItems containsBlank="1" count="47">
        <s v="PIRATININGA"/>
        <s v="ANHEMBI"/>
        <s v="PAULISTANIA"/>
        <s v="AVAI"/>
        <s v="ANALANDIA"/>
        <s v="BOREBI"/>
        <s v="PRATANIA"/>
        <s v="ITATINGA"/>
        <s v="BOCAINA"/>
        <s v="ITAPETININGA"/>
        <s v="GUARANTA"/>
        <s v="AVARE"/>
        <s v="CORUMBATAI"/>
        <s v="BROTAS"/>
        <s v="REGINOPOLIS"/>
        <e v="#N/A"/>
        <s v="SANTA CRUZ DO RIO PARDO"/>
        <s v="ESPIRITO SANTO DO TURVO"/>
        <s v="AGUAS DE SANTA BARBARA"/>
        <s v="AGUDOS"/>
        <s v="AREALVA"/>
        <s v="IACANGA"/>
        <s v="JULIO MESQUITA"/>
        <s v="PIRAJUI"/>
        <s v="PRESIDENTE ALVES"/>
        <s v="LENCOIS PAULISTA"/>
        <s v="ITAI"/>
        <s v="-"/>
        <s v="BOA ESPERANCA DO SUL"/>
        <s v="CAFELANDIA"/>
        <s v="GALIA"/>
        <s v="GETULINA"/>
        <s v="PIRAJUÍ"/>
        <s v="ANGATUBA"/>
        <s v="DUARTINA"/>
        <s v="BOTUCATU"/>
        <s v="CAPÃO BONITO"/>
        <s v="BOA ESPERANÇA DO SUL"/>
        <s v="AGUDOS "/>
        <s v="CAPAO BONITO"/>
        <s v=" RIBAS DO RIO PARDO"/>
        <s v="BAURU"/>
        <s v="ÁLVARO DE CARVALHO"/>
        <m/>
        <s v="PRATÂNIA"/>
        <s v="AVAÍ"/>
        <s v="PAULISTÂNIA" u="1"/>
      </sharedItems>
    </cacheField>
    <cacheField name="DEPOSIT" numFmtId="0">
      <sharedItems containsBlank="1" containsMixedTypes="1" containsNumber="1" containsInteger="1" minValue="2035" maxValue="7901"/>
    </cacheField>
    <cacheField name="COST CENTER" numFmtId="0">
      <sharedItems containsString="0" containsBlank="1" containsNumber="1" containsInteger="1" minValue="371011" maxValue="375060"/>
    </cacheField>
    <cacheField name="RC" numFmtId="0">
      <sharedItems containsBlank="1" containsMixedTypes="1" containsNumber="1" containsInteger="1" minValue="1" maxValue="10799376"/>
    </cacheField>
    <cacheField name="QTD" numFmtId="0">
      <sharedItems containsString="0" containsBlank="1" containsNumber="1" minValue="1" maxValue="1693"/>
    </cacheField>
    <cacheField name="UNID" numFmtId="0">
      <sharedItems containsBlank="1"/>
    </cacheField>
    <cacheField name="VALUE" numFmtId="0">
      <sharedItems containsString="0" containsBlank="1" containsNumber="1" minValue="0" maxValue="406352.71600000001"/>
    </cacheField>
    <cacheField name="TOTAL" numFmtId="44">
      <sharedItems containsSemiMixedTypes="0" containsString="0" containsNumber="1" minValue="0" maxValue="406352.716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a Ferreira Mesquita" refreshedDate="45790.645392939812" createdVersion="6" refreshedVersion="6" minRefreshableVersion="3" recordCount="63" xr:uid="{73D58EC7-DDD7-494C-920B-37B12EB53632}">
  <cacheSource type="worksheet">
    <worksheetSource name="Table42"/>
  </cacheSource>
  <cacheFields count="19">
    <cacheField name="ID" numFmtId="165">
      <sharedItems containsNonDate="0" containsString="0" containsBlank="1"/>
    </cacheField>
    <cacheField name="DATE" numFmtId="0">
      <sharedItems containsNonDate="0" containsString="0" containsBlank="1"/>
    </cacheField>
    <cacheField name="REF" numFmtId="167">
      <sharedItems containsSemiMixedTypes="0" containsNonDate="0" containsDate="1" containsString="0" minDate="2025-02-25T00:00:00" maxDate="2025-03-25T00:00:00"/>
    </cacheField>
    <cacheField name="CLASSIFICATION" numFmtId="0">
      <sharedItems/>
    </cacheField>
    <cacheField name="RESPONSIBLE" numFmtId="0">
      <sharedItems count="8">
        <s v="RICHARD SANTOS"/>
        <s v="MURILO MARTINS"/>
        <s v="JULIANO DELGADO"/>
        <s v="DENILSON FERNANDES"/>
        <s v="FERNANDO DE JESUS"/>
        <s v="JOÃO ASSIS"/>
        <s v="TODOS SUPERVISORES"/>
        <s v="-" u="1"/>
      </sharedItems>
    </cacheField>
    <cacheField name="COORDENAÇÃO" numFmtId="0">
      <sharedItems count="5">
        <s v="CAUÊ CASSANO"/>
        <s v="KARINE MADRUGA "/>
        <s v="JOSE DRAGO"/>
        <s v="TODOS"/>
        <s v="-" u="1"/>
      </sharedItems>
    </cacheField>
    <cacheField name="PROVIDER" numFmtId="0">
      <sharedItems/>
    </cacheField>
    <cacheField name="COD SAP" numFmtId="0">
      <sharedItems/>
    </cacheField>
    <cacheField name="DESCRIPTION" numFmtId="0">
      <sharedItems/>
    </cacheField>
    <cacheField name="OBSERVATION" numFmtId="0">
      <sharedItems/>
    </cacheField>
    <cacheField name="CENTER" numFmtId="8">
      <sharedItems containsNonDate="0" containsString="0" containsBlank="1"/>
    </cacheField>
    <cacheField name="CITY" numFmtId="0">
      <sharedItems/>
    </cacheField>
    <cacheField name="DEPOSIT" numFmtId="0">
      <sharedItems containsSemiMixedTypes="0" containsString="0" containsNumber="1" containsInteger="1" minValue="7901" maxValue="7901"/>
    </cacheField>
    <cacheField name="COST CENTER" numFmtId="0">
      <sharedItems containsSemiMixedTypes="0" containsString="0" containsNumber="1" containsInteger="1" minValue="371011" maxValue="371011"/>
    </cacheField>
    <cacheField name="RC" numFmtId="0">
      <sharedItems containsNonDate="0" containsString="0" containsBlank="1"/>
    </cacheField>
    <cacheField name="QTD" numFmtId="0">
      <sharedItems containsSemiMixedTypes="0" containsString="0" containsNumber="1" containsInteger="1" minValue="1" maxValue="40"/>
    </cacheField>
    <cacheField name="UNID" numFmtId="43">
      <sharedItems/>
    </cacheField>
    <cacheField name="VALUE" numFmtId="0">
      <sharedItems containsSemiMixedTypes="0" containsString="0" containsNumber="1" minValue="1" maxValue="4197.8999999999996"/>
    </cacheField>
    <cacheField name="TOTAL" numFmtId="44">
      <sharedItems containsSemiMixedTypes="0" containsString="0" containsNumber="1" minValue="4.5" maxValue="63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6">
  <r>
    <x v="0"/>
    <x v="0"/>
    <x v="0"/>
    <x v="0"/>
    <x v="0"/>
    <x v="0"/>
    <n v="1000287"/>
    <s v="SERV FRETE CAMINHAO PRANCHA AGRIC"/>
    <s v="FRETE PEDERNAIRAS PARA DUARTINA (MAQUINA JM DESTOCA)"/>
    <n v="4064"/>
    <s v="PIRATININGA"/>
    <s v="0176"/>
    <n v="371011"/>
    <n v="10772055"/>
    <n v="194"/>
    <s v="KM"/>
    <n v="12.39"/>
    <n v="2403.6600000000003"/>
  </r>
  <r>
    <x v="1"/>
    <x v="0"/>
    <x v="0"/>
    <x v="1"/>
    <x v="0"/>
    <x v="0"/>
    <n v="1000287"/>
    <s v="SERV FRETE CAMINHAO PRANCHA AGRIC"/>
    <s v="AGUARDANDO CARREGAMENTOPEDERNAIRAS PARA DUARTINA (MAQUINA JM DESTOCA)"/>
    <n v="4064"/>
    <s v="PIRATININGA"/>
    <s v="0176"/>
    <n v="371011"/>
    <n v="10772055"/>
    <n v="250"/>
    <s v="KM"/>
    <n v="12.39"/>
    <n v="3097.5"/>
  </r>
  <r>
    <x v="2"/>
    <x v="0"/>
    <x v="0"/>
    <x v="0"/>
    <x v="1"/>
    <x v="0"/>
    <n v="1000287"/>
    <s v="SERV FRETE CAMINHAO PRANCHA AGRIC"/>
    <s v="FRETE PORTO FELIZ PARA FAZ OITO PONTAS (PROJETO DO, PLANTADEIRA)"/>
    <n v="4007"/>
    <s v="ANHEMBI"/>
    <s v="0420"/>
    <n v="371088"/>
    <n v="10772055"/>
    <n v="265.7"/>
    <s v="KM"/>
    <n v="12.39"/>
    <n v="3292.0230000000001"/>
  </r>
  <r>
    <x v="3"/>
    <x v="0"/>
    <x v="0"/>
    <x v="2"/>
    <x v="1"/>
    <x v="0"/>
    <n v="1000238"/>
    <s v="SERV DESP PEDAGIO"/>
    <s v="PEDAGIO PORTO FELIZ PARA FAZ OITO PONTAS  (PROJETO DO, PLANTADEIRA)"/>
    <n v="4007"/>
    <s v="ANHEMBI"/>
    <s v="0420"/>
    <n v="371088"/>
    <n v="10772055"/>
    <n v="1"/>
    <s v="UA"/>
    <n v="405.3"/>
    <n v="405.3"/>
  </r>
  <r>
    <x v="4"/>
    <x v="0"/>
    <x v="0"/>
    <x v="1"/>
    <x v="1"/>
    <x v="0"/>
    <n v="1000287"/>
    <s v="SERV FRETE CAMINHAO PRANCHA AGRIC"/>
    <s v="AGUARDANDO CARREGAMENTO PORTO FELIZ PARA FAZ OITO PONTAS  (PROJETO DO, PLANTADEIRA)"/>
    <n v="4007"/>
    <s v="ANHEMBI"/>
    <s v="0420"/>
    <n v="371088"/>
    <n v="10772055"/>
    <n v="250"/>
    <s v="KM"/>
    <n v="12.39"/>
    <n v="3097.5"/>
  </r>
  <r>
    <x v="5"/>
    <x v="0"/>
    <x v="0"/>
    <x v="3"/>
    <x v="1"/>
    <x v="0"/>
    <s v="0000000"/>
    <s v="ADM VERIFICAR"/>
    <s v="REEMBOLSO AVARIAS FRETE PORTO FELIZ PARA FAZ OITO PONTAS  (PROJETO DO, PLANTADEIRA)"/>
    <n v="4007"/>
    <s v="ANHEMBI"/>
    <s v="0420"/>
    <n v="371088"/>
    <n v="10772055"/>
    <n v="1"/>
    <s v="UA"/>
    <n v="4000"/>
    <n v="4000"/>
  </r>
  <r>
    <x v="6"/>
    <x v="1"/>
    <x v="0"/>
    <x v="0"/>
    <x v="2"/>
    <x v="0"/>
    <n v="1000287"/>
    <s v="SERV FRETE CAMINHAO PRANCHA AGRIC"/>
    <s v="FRETE FAZ MONTE LIBANO PARA OFICINA"/>
    <n v="4060"/>
    <s v="PAULISTANIA"/>
    <s v="0268"/>
    <n v="371075"/>
    <n v="10772055"/>
    <n v="144"/>
    <s v="KM"/>
    <n v="12.39"/>
    <n v="1784.16"/>
  </r>
  <r>
    <x v="7"/>
    <x v="1"/>
    <x v="0"/>
    <x v="2"/>
    <x v="2"/>
    <x v="0"/>
    <n v="1000238"/>
    <s v="SERV DESP PEDAGIO"/>
    <s v="PEDAGIO FAZ MONTE LIBANO PARA OFICINA"/>
    <n v="4060"/>
    <s v="PAULISTANIA"/>
    <s v="0268"/>
    <n v="371075"/>
    <n v="10772055"/>
    <n v="1"/>
    <s v="UA"/>
    <n v="267.68"/>
    <n v="267.68"/>
  </r>
  <r>
    <x v="8"/>
    <x v="2"/>
    <x v="0"/>
    <x v="0"/>
    <x v="3"/>
    <x v="0"/>
    <n v="1000287"/>
    <s v="SERV FRETE CAMINHAO PRANCHA AGRIC"/>
    <s v="FRETE FAZ IDEAL PARA RECREIO (2PRANCHAS)"/>
    <n v="4010"/>
    <s v="AVAI"/>
    <s v="0011"/>
    <n v="371055"/>
    <n v="10772055"/>
    <n v="673"/>
    <s v="KM"/>
    <n v="12.39"/>
    <n v="8338.4700000000012"/>
  </r>
  <r>
    <x v="9"/>
    <x v="2"/>
    <x v="0"/>
    <x v="2"/>
    <x v="3"/>
    <x v="0"/>
    <n v="1000238"/>
    <s v="SERV DESP PEDAGIO"/>
    <s v="PEDAGIO FAZ IDEAL PARA RECREIO (2PRANCHAS)"/>
    <n v="4010"/>
    <s v="AVAI"/>
    <s v="0011"/>
    <n v="371055"/>
    <n v="10772055"/>
    <n v="1"/>
    <s v="UA"/>
    <n v="616"/>
    <n v="616"/>
  </r>
  <r>
    <x v="10"/>
    <x v="3"/>
    <x v="0"/>
    <x v="0"/>
    <x v="4"/>
    <x v="0"/>
    <n v="1000287"/>
    <s v="SERV FRETE CAMINHAO PRANCHA AGRIC"/>
    <s v="FRETE FAZ SÃO BENEDITO PARA AGUA FRIA (2PRANCHAS)"/>
    <n v="4091"/>
    <s v="ANALANDIA"/>
    <s v="2040"/>
    <n v="371065"/>
    <n v="10772055"/>
    <n v="902.3"/>
    <s v="KM"/>
    <n v="12.39"/>
    <n v="11179.496999999999"/>
  </r>
  <r>
    <x v="11"/>
    <x v="3"/>
    <x v="0"/>
    <x v="2"/>
    <x v="4"/>
    <x v="0"/>
    <n v="1000238"/>
    <s v="SERV DESP PEDAGIO"/>
    <s v="PADAGIO FAZ SÃO BENEDITO PARA AGUA FRIA (2PRANCHAS)"/>
    <n v="4091"/>
    <s v="ANALANDIA"/>
    <s v="2040"/>
    <n v="371065"/>
    <n v="10772055"/>
    <n v="1"/>
    <s v="UA"/>
    <n v="676.2"/>
    <n v="676.2"/>
  </r>
  <r>
    <x v="12"/>
    <x v="4"/>
    <x v="1"/>
    <x v="0"/>
    <x v="4"/>
    <x v="0"/>
    <n v="1000287"/>
    <s v="SERV FRETE CAMINHAO PRANCHA AGRIC"/>
    <s v="FRETE FAZ MAGNOLIA II PARA IDEAL (2PRANCHAS)"/>
    <n v="4016"/>
    <s v="BOREBI"/>
    <s v="2066"/>
    <n v="371065"/>
    <n v="10772055"/>
    <n v="1393.1"/>
    <s v="KM"/>
    <n v="12.39"/>
    <n v="17260.508999999998"/>
  </r>
  <r>
    <x v="13"/>
    <x v="4"/>
    <x v="1"/>
    <x v="2"/>
    <x v="4"/>
    <x v="0"/>
    <n v="1000238"/>
    <s v="SERV DESP PEDAGIO"/>
    <s v="PEDAGIO FAZ MAGNOLIA II PARA IDEAL  (2PRANCHAS)"/>
    <n v="4016"/>
    <s v="BOREBI"/>
    <s v="2066"/>
    <n v="371065"/>
    <n v="10772055"/>
    <n v="1"/>
    <s v="UA"/>
    <n v="1827.8"/>
    <n v="1827.8"/>
  </r>
  <r>
    <x v="14"/>
    <x v="5"/>
    <x v="1"/>
    <x v="0"/>
    <x v="4"/>
    <x v="0"/>
    <n v="1000287"/>
    <s v="SERV FRETE CAMINHAO PRANCHA AGRIC"/>
    <s v="FRETE FAZ ANALANDIA X PARA BOA VISTA II"/>
    <n v="4067"/>
    <s v="PRATANIA"/>
    <s v="0098"/>
    <n v="371065"/>
    <n v="10772055"/>
    <n v="446.2"/>
    <s v="KM"/>
    <n v="12.39"/>
    <n v="5528.4179999999997"/>
  </r>
  <r>
    <x v="15"/>
    <x v="5"/>
    <x v="1"/>
    <x v="2"/>
    <x v="4"/>
    <x v="0"/>
    <n v="1000238"/>
    <s v="SERV DESP PEDAGIO"/>
    <s v="PEDAGIO FAZ ANALANDIA X PARA BOA VISTA II"/>
    <n v="4067"/>
    <s v="PRATANIA"/>
    <s v="0098"/>
    <n v="371065"/>
    <n v="10772055"/>
    <n v="1"/>
    <s v="UA"/>
    <n v="346.17"/>
    <n v="346.17"/>
  </r>
  <r>
    <x v="16"/>
    <x v="5"/>
    <x v="1"/>
    <x v="1"/>
    <x v="4"/>
    <x v="0"/>
    <n v="1000287"/>
    <s v="SERV FRETE CAMINHAO PRANCHA AGRIC"/>
    <s v="AGUARDANDO CARREGAMENTO FAZ ANALANDIA X PARA BOA VISTA II"/>
    <n v="4067"/>
    <s v="PRATANIA"/>
    <s v="0098"/>
    <n v="371065"/>
    <n v="10772055"/>
    <n v="250"/>
    <s v="KM"/>
    <n v="12.39"/>
    <n v="3097.5"/>
  </r>
  <r>
    <x v="17"/>
    <x v="5"/>
    <x v="1"/>
    <x v="0"/>
    <x v="4"/>
    <x v="0"/>
    <n v="1000287"/>
    <s v="SERV FRETE CAMINHAO PRANCHA AGRIC"/>
    <s v="FRETE FAZ ANALANDIA X PARA IDEAL"/>
    <n v="4016"/>
    <s v="BOREBI"/>
    <s v="2066"/>
    <n v="371065"/>
    <n v="10772055"/>
    <n v="422.8"/>
    <s v="KM"/>
    <n v="12.39"/>
    <n v="5238.4920000000002"/>
  </r>
  <r>
    <x v="18"/>
    <x v="5"/>
    <x v="1"/>
    <x v="2"/>
    <x v="4"/>
    <x v="0"/>
    <n v="1000238"/>
    <s v="SERV DESP PEDAGIO"/>
    <s v="PEDAGIO FAZ ANALANDIA X PARA IDEAL"/>
    <n v="4016"/>
    <s v="BOREBI"/>
    <s v="2066"/>
    <n v="371065"/>
    <n v="10772055"/>
    <n v="1"/>
    <s v="UA"/>
    <n v="288.12"/>
    <n v="288.12"/>
  </r>
  <r>
    <x v="19"/>
    <x v="5"/>
    <x v="1"/>
    <x v="1"/>
    <x v="4"/>
    <x v="0"/>
    <n v="1000287"/>
    <s v="SERV FRETE CAMINHAO PRANCHA AGRIC"/>
    <s v="AGUARDANDO CARREGAMENTO FAZ ANALANDIA X PARA IDEAL"/>
    <n v="4016"/>
    <s v="BOREBI"/>
    <s v="2066"/>
    <n v="371065"/>
    <n v="10772055"/>
    <n v="250"/>
    <s v="KM"/>
    <n v="12.39"/>
    <n v="3097.5"/>
  </r>
  <r>
    <x v="20"/>
    <x v="6"/>
    <x v="1"/>
    <x v="0"/>
    <x v="5"/>
    <x v="1"/>
    <n v="1000287"/>
    <s v="SERV FRETE CAMINHAO PRANCHA AGRIC"/>
    <s v="FRETE FAZ PARAISO PARA SANTA MARTA"/>
    <n v="4048"/>
    <s v="ITATINGA"/>
    <s v="0559"/>
    <n v="371045"/>
    <n v="10771210"/>
    <n v="301"/>
    <s v="KM"/>
    <n v="12.28"/>
    <n v="3696.2799999999997"/>
  </r>
  <r>
    <x v="21"/>
    <x v="6"/>
    <x v="1"/>
    <x v="2"/>
    <x v="5"/>
    <x v="1"/>
    <n v="1000238"/>
    <s v="SERV DESP PEDAGIO"/>
    <s v="PEDAGIO S/ FRETE FAZ PARAISO PARA SANTA MARTA"/>
    <n v="4048"/>
    <s v="ITATINGA"/>
    <s v="0559"/>
    <n v="371045"/>
    <n v="10771210"/>
    <n v="1"/>
    <s v="UA"/>
    <n v="171.8"/>
    <n v="171.8"/>
  </r>
  <r>
    <x v="22"/>
    <x v="7"/>
    <x v="1"/>
    <x v="0"/>
    <x v="5"/>
    <x v="1"/>
    <n v="1000287"/>
    <s v="SERV FRETE CAMINHAO PRANCHA AGRIC"/>
    <s v="FRETE FAZ BREJAO PARA PITANGUEIRAS"/>
    <n v="4048"/>
    <s v="ITATINGA"/>
    <s v="0480"/>
    <n v="371045"/>
    <n v="10771210"/>
    <n v="250"/>
    <s v="KM"/>
    <n v="12.28"/>
    <n v="3070"/>
  </r>
  <r>
    <x v="23"/>
    <x v="7"/>
    <x v="1"/>
    <x v="2"/>
    <x v="5"/>
    <x v="1"/>
    <n v="1000238"/>
    <s v="SERV DESP PEDAGIO"/>
    <s v="FRETE FAZ BREJAO PARA PITANGUEIRAS"/>
    <n v="4048"/>
    <s v="ITATINGA"/>
    <s v="0480"/>
    <n v="371045"/>
    <n v="10771210"/>
    <n v="1"/>
    <s v="UA"/>
    <n v="176.03"/>
    <n v="176.03"/>
  </r>
  <r>
    <x v="24"/>
    <x v="8"/>
    <x v="2"/>
    <x v="4"/>
    <x v="0"/>
    <x v="2"/>
    <n v="2700092"/>
    <s v="SERVIÇO CAMINHÃO TRACADO KM"/>
    <s v="DIFERENÇA DE TARIFA PAGO 5,08 CORRETO 5,25"/>
    <n v="4015"/>
    <s v="BOCAINA"/>
    <s v="0440"/>
    <n v="371011"/>
    <n v="10775471"/>
    <n v="122.25"/>
    <s v="KM"/>
    <n v="5.25"/>
    <n v="641.8125"/>
  </r>
  <r>
    <x v="25"/>
    <x v="9"/>
    <x v="1"/>
    <x v="0"/>
    <x v="5"/>
    <x v="1"/>
    <n v="1000287"/>
    <s v="SERV FRETE CAMINHAO PRANCHA AGRIC"/>
    <s v="FRETE FAZ PITANGUEIRA PARA ALVORADA VII"/>
    <n v="4045"/>
    <s v="ITAPETININGA"/>
    <s v="2405"/>
    <n v="371045"/>
    <n v="10771210"/>
    <n v="555"/>
    <s v="KM"/>
    <n v="12.28"/>
    <n v="6815.4"/>
  </r>
  <r>
    <x v="26"/>
    <x v="9"/>
    <x v="1"/>
    <x v="2"/>
    <x v="5"/>
    <x v="1"/>
    <n v="1000238"/>
    <s v="SERV DESP PEDAGIO"/>
    <s v="FRETE FAZ PITANGUEIRA PARA ALVORADA VII"/>
    <n v="4045"/>
    <s v="ITAPETININGA"/>
    <s v="2405"/>
    <n v="371045"/>
    <n v="10771210"/>
    <n v="1"/>
    <s v="UA"/>
    <n v="704.28"/>
    <n v="704.28"/>
  </r>
  <r>
    <x v="27"/>
    <x v="10"/>
    <x v="1"/>
    <x v="0"/>
    <x v="4"/>
    <x v="0"/>
    <n v="1000287"/>
    <s v="SERV FRETE CAMINHAO PRANCHA AGRIC"/>
    <s v="FRETE FAZ BOA VISTA II PARA BREJÃO CORREDOR (3PRANCHAS)"/>
    <n v="4048"/>
    <s v="ITATINGA"/>
    <s v="0981"/>
    <n v="371065"/>
    <n v="10772662"/>
    <n v="870.9"/>
    <s v="KM"/>
    <n v="13.69"/>
    <n v="11922.620999999999"/>
  </r>
  <r>
    <x v="28"/>
    <x v="10"/>
    <x v="1"/>
    <x v="2"/>
    <x v="4"/>
    <x v="0"/>
    <n v="1000238"/>
    <s v="SERV DESP PEDAGIO"/>
    <s v="FRETE FAZ BOA VISTA II PARA BREJÃO CORREDOR (3PRANCHAS)"/>
    <n v="4048"/>
    <s v="ITATINGA"/>
    <s v="0981"/>
    <n v="371065"/>
    <n v="10772662"/>
    <n v="1"/>
    <s v="UA"/>
    <n v="776.81"/>
    <n v="776.81"/>
  </r>
  <r>
    <x v="29"/>
    <x v="10"/>
    <x v="1"/>
    <x v="1"/>
    <x v="4"/>
    <x v="0"/>
    <n v="1000287"/>
    <s v="SERV FRETE CAMINHAO PRANCHA AGRIC"/>
    <s v="AGUARDANDO CARREGAMENTO FAZ BOA VISTA II PARA BREJÃO CORREDOR (3PRANCHAS)"/>
    <n v="4048"/>
    <s v="ITATINGA"/>
    <s v="0981"/>
    <n v="371065"/>
    <n v="10772662"/>
    <n v="750"/>
    <s v="KM"/>
    <n v="13.69"/>
    <n v="10267.5"/>
  </r>
  <r>
    <x v="30"/>
    <x v="11"/>
    <x v="1"/>
    <x v="4"/>
    <x v="6"/>
    <x v="3"/>
    <n v="2700092"/>
    <s v="SERVIÇO CAMINHÃO TRACADO KM"/>
    <s v="FRETE PEDREIRA DO PARDO PARA FAZ DOS ORIXAS"/>
    <n v="4038"/>
    <s v="GUARANTA"/>
    <s v="0202"/>
    <n v="371011"/>
    <n v="10772667"/>
    <n v="354"/>
    <s v="KM"/>
    <n v="5.64"/>
    <n v="1996.56"/>
  </r>
  <r>
    <x v="31"/>
    <x v="11"/>
    <x v="1"/>
    <x v="4"/>
    <x v="6"/>
    <x v="3"/>
    <n v="2700092"/>
    <s v="SERVIÇO CAMINHÃO TRACADO KM"/>
    <s v="FRETE PEDREIRA DO PARDO PARA FAZ DOS ORIXAS"/>
    <n v="4038"/>
    <s v="GUARANTA"/>
    <s v="0202"/>
    <n v="371011"/>
    <n v="10772667"/>
    <n v="354"/>
    <s v="KM"/>
    <n v="5.64"/>
    <n v="1996.56"/>
  </r>
  <r>
    <x v="32"/>
    <x v="11"/>
    <x v="1"/>
    <x v="2"/>
    <x v="6"/>
    <x v="3"/>
    <n v="1000238"/>
    <s v="SERV DESP PEDAGIO"/>
    <s v="PEDAGIO FRETE PEDREIRA DO PARDO PARA FAZ DOS ORIXAS"/>
    <n v="4038"/>
    <s v="GUARANTA"/>
    <s v="0202"/>
    <n v="371011"/>
    <n v="10772667"/>
    <n v="1"/>
    <s v="UA"/>
    <n v="123.39"/>
    <n v="123.39"/>
  </r>
  <r>
    <x v="33"/>
    <x v="11"/>
    <x v="1"/>
    <x v="2"/>
    <x v="6"/>
    <x v="3"/>
    <n v="1000238"/>
    <s v="SERV DESP PEDAGIO"/>
    <s v="PEDAGIO FRETE PEDREIRA DO PARDO PARA FAZ DOS ORIXAS"/>
    <n v="4038"/>
    <s v="GUARANTA"/>
    <s v="0202"/>
    <n v="371011"/>
    <n v="10772667"/>
    <n v="1"/>
    <s v="UA"/>
    <n v="123.39"/>
    <n v="123.39"/>
  </r>
  <r>
    <x v="34"/>
    <x v="12"/>
    <x v="1"/>
    <x v="0"/>
    <x v="4"/>
    <x v="0"/>
    <n v="1000287"/>
    <s v="SERV FRETE CAMINHAO PRANCHA AGRIC"/>
    <s v="FRETE FAZ BREJÃO CORREDOR PARA SANTA RITA"/>
    <n v="4011"/>
    <s v="AVARE"/>
    <s v="0631"/>
    <n v="371065"/>
    <n v="10772662"/>
    <n v="933.7"/>
    <s v="KM"/>
    <n v="13.69"/>
    <n v="12782.353000000001"/>
  </r>
  <r>
    <x v="35"/>
    <x v="12"/>
    <x v="1"/>
    <x v="2"/>
    <x v="4"/>
    <x v="0"/>
    <n v="1000238"/>
    <s v="SERV DESP PEDAGIO"/>
    <s v="FRETE FAZ BREJÃO CORREDOR PARA SANTA RITA"/>
    <n v="4011"/>
    <s v="AVARE"/>
    <s v="0631"/>
    <n v="371065"/>
    <n v="10772662"/>
    <n v="1"/>
    <s v="UA"/>
    <n v="605.85"/>
    <n v="605.85"/>
  </r>
  <r>
    <x v="36"/>
    <x v="13"/>
    <x v="1"/>
    <x v="0"/>
    <x v="5"/>
    <x v="1"/>
    <n v="1000287"/>
    <s v="SERV FRETE CAMINHAO PRANCHA AGRIC"/>
    <s v="FRETE FAZ ALVORADA VII  PARA MORRO PEQUENO"/>
    <n v="4027"/>
    <s v="CORUMBATAI"/>
    <s v="2044"/>
    <n v="371045"/>
    <n v="10771210"/>
    <n v="531"/>
    <s v="KM"/>
    <n v="12.28"/>
    <n v="6520.6799999999994"/>
  </r>
  <r>
    <x v="37"/>
    <x v="13"/>
    <x v="1"/>
    <x v="2"/>
    <x v="5"/>
    <x v="1"/>
    <n v="1000238"/>
    <s v="SERV DESP PEDAGIO"/>
    <s v="FRETE FAZ ALVORADA VII  PARA MORRO PEQUENO"/>
    <n v="4027"/>
    <s v="CORUMBATAI"/>
    <s v="2044"/>
    <n v="371045"/>
    <n v="10771210"/>
    <n v="1"/>
    <s v="UA"/>
    <n v="543.11"/>
    <n v="543.11"/>
  </r>
  <r>
    <x v="38"/>
    <x v="14"/>
    <x v="1"/>
    <x v="0"/>
    <x v="4"/>
    <x v="0"/>
    <n v="1000287"/>
    <s v="SERV FRETE CAMINHAO PRANCHA AGRIC"/>
    <s v="FRETE FAZ SANTA MARTA PARA PINTANGUEIRA"/>
    <n v="4048"/>
    <s v="ITATINGA"/>
    <s v="0480"/>
    <n v="371065"/>
    <n v="10772662"/>
    <n v="638.20000000000005"/>
    <s v="KM"/>
    <n v="13.69"/>
    <n v="8736.9580000000005"/>
  </r>
  <r>
    <x v="39"/>
    <x v="14"/>
    <x v="1"/>
    <x v="2"/>
    <x v="4"/>
    <x v="0"/>
    <n v="1000238"/>
    <s v="SERV DESP PEDAGIO"/>
    <s v="FRETE FAZ SANTA MARTA PARA PINTANGUEIRA"/>
    <n v="4048"/>
    <s v="ITATINGA"/>
    <s v="0480"/>
    <n v="371065"/>
    <n v="10772662"/>
    <n v="1"/>
    <s v="UA"/>
    <n v="643.12"/>
    <n v="643.12"/>
  </r>
  <r>
    <x v="40"/>
    <x v="15"/>
    <x v="1"/>
    <x v="0"/>
    <x v="4"/>
    <x v="0"/>
    <n v="1000287"/>
    <s v="SERV FRETE CAMINHAO PRANCHA AGRIC"/>
    <s v="FRETE FAZ MORRO PEQUENO PARA LOBOS E ARARAS"/>
    <n v="4020"/>
    <s v="BROTAS"/>
    <s v="0408"/>
    <n v="371065"/>
    <n v="10772662"/>
    <n v="501.1"/>
    <s v="KM"/>
    <n v="13.69"/>
    <n v="6860.0590000000002"/>
  </r>
  <r>
    <x v="41"/>
    <x v="15"/>
    <x v="1"/>
    <x v="2"/>
    <x v="4"/>
    <x v="0"/>
    <n v="1000238"/>
    <s v="SERV DESP PEDAGIO"/>
    <s v="FRETE FAZ MORRO PEQUENO PARA LOBOS E ARARAS"/>
    <n v="4020"/>
    <s v="BROTAS"/>
    <s v="0408"/>
    <n v="371065"/>
    <n v="10772662"/>
    <n v="1"/>
    <s v="UA"/>
    <n v="209.94"/>
    <n v="209.94"/>
  </r>
  <r>
    <x v="42"/>
    <x v="16"/>
    <x v="1"/>
    <x v="0"/>
    <x v="3"/>
    <x v="0"/>
    <n v="1000287"/>
    <s v="SERV FRETE CAMINHAO PRANCHA AGRIC"/>
    <s v="FRETE FAZ RECREIO PARA SANTO ALBERTO"/>
    <n v="4016"/>
    <s v="BOREBI"/>
    <s v="1023"/>
    <n v="371055"/>
    <n v="10772662"/>
    <n v="811.7"/>
    <s v="KM"/>
    <n v="13.69"/>
    <n v="11112.173000000001"/>
  </r>
  <r>
    <x v="43"/>
    <x v="16"/>
    <x v="1"/>
    <x v="2"/>
    <x v="3"/>
    <x v="0"/>
    <n v="1000238"/>
    <s v="SERV DESP PEDAGIO"/>
    <s v="FRETE FAZ RECREIO PARA SANTO ALBERTO"/>
    <n v="4016"/>
    <s v="BOREBI"/>
    <s v="1023"/>
    <n v="371055"/>
    <n v="10772662"/>
    <n v="1"/>
    <s v="UA"/>
    <n v="656.2"/>
    <n v="656.2"/>
  </r>
  <r>
    <x v="44"/>
    <x v="17"/>
    <x v="1"/>
    <x v="0"/>
    <x v="5"/>
    <x v="0"/>
    <n v="1000287"/>
    <s v="SERV FRETE CAMINHAO PRANCHA AGRIC"/>
    <s v="FRETE FAZ LOBO E ARARAS PARA COLARES"/>
    <n v="4070"/>
    <s v="REGINOPOLIS"/>
    <s v="0312"/>
    <n v="371045"/>
    <n v="10772662"/>
    <n v="381.2"/>
    <s v="KM"/>
    <n v="13.69"/>
    <n v="5218.6279999999997"/>
  </r>
  <r>
    <x v="45"/>
    <x v="17"/>
    <x v="1"/>
    <x v="2"/>
    <x v="5"/>
    <x v="0"/>
    <n v="1000238"/>
    <s v="SERV DESP PEDAGIO"/>
    <s v="FRETE FAZ LOBO E ARARAS PARA COLARES"/>
    <n v="4070"/>
    <s v="REGINOPOLIS"/>
    <s v="0312"/>
    <n v="371045"/>
    <n v="10772662"/>
    <n v="1"/>
    <s v="UA"/>
    <n v="260.02"/>
    <n v="260.02"/>
  </r>
  <r>
    <x v="46"/>
    <x v="17"/>
    <x v="1"/>
    <x v="1"/>
    <x v="5"/>
    <x v="0"/>
    <n v="1000287"/>
    <s v="SERV FRETE CAMINHAO PRANCHA AGRIC"/>
    <s v="AGUARDANDO CARREGAMENTO FRETE FAZ LOBO E ARARAS PARA COLARES"/>
    <n v="4070"/>
    <s v="REGINOPOLIS"/>
    <s v="0312"/>
    <n v="371045"/>
    <n v="10772662"/>
    <n v="250"/>
    <s v="KM"/>
    <n v="13.69"/>
    <n v="3422.5"/>
  </r>
  <r>
    <x v="47"/>
    <x v="18"/>
    <x v="1"/>
    <x v="0"/>
    <x v="0"/>
    <x v="0"/>
    <n v="1000287"/>
    <s v="SERV FRETE CAMINHAO PRANCHA AGRIC"/>
    <s v="FRETE ESCAVADEIRA LOCADA PARA RESGATE DE EQUIPAMENTO ATOLADO"/>
    <s v="0000"/>
    <e v="#N/A"/>
    <s v="0000"/>
    <n v="371011"/>
    <n v="10777223"/>
    <n v="131.80000000000001"/>
    <s v="KM"/>
    <n v="13.69"/>
    <n v="1804.3420000000001"/>
  </r>
  <r>
    <x v="48"/>
    <x v="18"/>
    <x v="1"/>
    <x v="2"/>
    <x v="0"/>
    <x v="0"/>
    <n v="1000238"/>
    <s v="SERV DESP PEDAGIO"/>
    <s v="PEDAGIO FRETE ESCAVADEIRA LOCADA PARA RESGATE DE EQUIPAMENTO ATOLADO"/>
    <s v="0000"/>
    <e v="#N/A"/>
    <s v="0000"/>
    <n v="371011"/>
    <n v="10777223"/>
    <n v="1"/>
    <s v="UA"/>
    <n v="223.2"/>
    <n v="223.2"/>
  </r>
  <r>
    <x v="49"/>
    <x v="18"/>
    <x v="1"/>
    <x v="5"/>
    <x v="0"/>
    <x v="0"/>
    <s v="0000000"/>
    <s v="SERV ESCAV HIDR 44 TON AGRIC"/>
    <s v="HORAS SERV ESCAVADEIRA LOCADA PARA RESGATE DE EQUIPAMENTO ATOLADO"/>
    <s v="0000"/>
    <e v="#N/A"/>
    <s v="0000"/>
    <n v="371011"/>
    <n v="10777223"/>
    <n v="4.3333349999999999"/>
    <s v="HORA"/>
    <n v="550"/>
    <n v="2383.3342499999999"/>
  </r>
  <r>
    <x v="50"/>
    <x v="19"/>
    <x v="3"/>
    <x v="6"/>
    <x v="2"/>
    <x v="4"/>
    <s v="0000000"/>
    <s v="SERVIÇOS APONTADOS NO SGF"/>
    <s v="APONTAMENTOS REALIZADOS NO SGF POR DIÁRIA DE TRUCK"/>
    <s v="0000"/>
    <e v="#N/A"/>
    <s v="0000"/>
    <n v="371075"/>
    <s v="00000000"/>
    <n v="1"/>
    <s v="UA"/>
    <n v="334914.23"/>
    <n v="334914.23"/>
  </r>
  <r>
    <x v="51"/>
    <x v="20"/>
    <x v="0"/>
    <x v="6"/>
    <x v="2"/>
    <x v="4"/>
    <s v="0000000"/>
    <s v="SERVIÇOS APONTADOS NO SGF"/>
    <s v="APONTAMENTOS REALIZADOS NO SGF POR DIÁRIA DE TRUCK"/>
    <s v="0000"/>
    <e v="#N/A"/>
    <s v="0000"/>
    <n v="371075"/>
    <s v="00000000"/>
    <n v="1"/>
    <s v="UA"/>
    <n v="200318.82"/>
    <n v="200318.82"/>
  </r>
  <r>
    <x v="51"/>
    <x v="21"/>
    <x v="2"/>
    <x v="0"/>
    <x v="4"/>
    <x v="0"/>
    <n v="1000287"/>
    <s v="SERV FRETE CAMINHAO PRANCHA AGRIC"/>
    <s v="FRETE FAZ LOBO E ARARAS  PARA BOA VISTA I"/>
    <n v="4067"/>
    <s v="PRATANIA"/>
    <s v="0016"/>
    <n v="371065"/>
    <n v="10776543"/>
    <n v="732.6"/>
    <s v="KM"/>
    <n v="13.69"/>
    <n v="10029.294"/>
  </r>
  <r>
    <x v="52"/>
    <x v="3"/>
    <x v="4"/>
    <x v="6"/>
    <x v="2"/>
    <x v="4"/>
    <s v="0000000"/>
    <s v="SERVIÇOS APONTADOS NO SGF"/>
    <s v="APONTAMENTOS REALIZADOS NO SGF POR DIÁRIA DE TRUCK"/>
    <s v="0000"/>
    <e v="#N/A"/>
    <s v="0000"/>
    <n v="371075"/>
    <s v="00000000"/>
    <n v="1"/>
    <s v="UA"/>
    <n v="406352.71600000001"/>
    <n v="406352.71600000001"/>
  </r>
  <r>
    <x v="52"/>
    <x v="21"/>
    <x v="2"/>
    <x v="2"/>
    <x v="4"/>
    <x v="0"/>
    <n v="1000238"/>
    <s v="SERV DESP PEDAGIO"/>
    <s v="PEDAGIO FRETE FAZ LOBO E ARARAS  PARA BOA VISTA I"/>
    <n v="4067"/>
    <s v="PRATANIA"/>
    <s v="0016"/>
    <n v="371065"/>
    <n v="10776543"/>
    <n v="1"/>
    <s v="UA"/>
    <n v="462.73"/>
    <n v="462.73"/>
  </r>
  <r>
    <x v="53"/>
    <x v="22"/>
    <x v="1"/>
    <x v="6"/>
    <x v="2"/>
    <x v="4"/>
    <s v="0000000"/>
    <s v="SERVIÇOS APONTADOS NO SGF"/>
    <s v="APONTAMENTOS REALIZADOS NO SGF POR DIÁRIA DE TRUCK"/>
    <s v="0000"/>
    <e v="#N/A"/>
    <s v="0000"/>
    <n v="371075"/>
    <s v="00000000"/>
    <n v="1"/>
    <s v="UA"/>
    <n v="320626.527"/>
    <n v="320626.527"/>
  </r>
  <r>
    <x v="53"/>
    <x v="23"/>
    <x v="2"/>
    <x v="0"/>
    <x v="3"/>
    <x v="0"/>
    <n v="1000287"/>
    <s v="SERV FRETE CAMINHAO PRANCHA AGRIC"/>
    <s v="FRETE FAZ SANTO ALBERTO  PARA RECREIO"/>
    <n v="4010"/>
    <s v="AVAI"/>
    <s v="0011"/>
    <n v="371055"/>
    <n v="10776543"/>
    <n v="226.5"/>
    <s v="KM"/>
    <n v="13.69"/>
    <n v="3100.7849999999999"/>
  </r>
  <r>
    <x v="54"/>
    <x v="23"/>
    <x v="2"/>
    <x v="2"/>
    <x v="3"/>
    <x v="0"/>
    <n v="1000238"/>
    <s v="SERV DESP PEDAGIO"/>
    <s v="PEDAGIO FRETE FAZ SANTO ALBERTO  PARA RECREIO"/>
    <n v="4010"/>
    <s v="AVAI"/>
    <s v="0011"/>
    <n v="371055"/>
    <n v="10776543"/>
    <n v="1"/>
    <s v="UA"/>
    <n v="162.4"/>
    <n v="162.4"/>
  </r>
  <r>
    <x v="55"/>
    <x v="23"/>
    <x v="2"/>
    <x v="0"/>
    <x v="4"/>
    <x v="0"/>
    <n v="1000287"/>
    <s v="SERV FRETE CAMINHAO PRANCHA AGRIC"/>
    <s v="FRETE FAZ PINTANGUEIRAS  PARA SELVA"/>
    <n v="4016"/>
    <s v="BOREBI"/>
    <s v="0015"/>
    <n v="371065"/>
    <n v="10776543"/>
    <n v="323"/>
    <s v="KM"/>
    <n v="13.69"/>
    <n v="4421.87"/>
  </r>
  <r>
    <x v="56"/>
    <x v="23"/>
    <x v="2"/>
    <x v="2"/>
    <x v="4"/>
    <x v="0"/>
    <n v="1000238"/>
    <s v="SERV DESP PEDAGIO"/>
    <s v="PEDAGIO FRETE FAZ PINTANGUEIRAS  PARA SELVA"/>
    <n v="4016"/>
    <s v="BOREBI"/>
    <s v="0015"/>
    <n v="371065"/>
    <n v="10776543"/>
    <n v="1"/>
    <s v="UA"/>
    <n v="454.63"/>
    <n v="454.63"/>
  </r>
  <r>
    <x v="57"/>
    <x v="24"/>
    <x v="2"/>
    <x v="0"/>
    <x v="3"/>
    <x v="0"/>
    <n v="1000287"/>
    <s v="SERV FRETE CAMINHAO PRANCHA AGRIC"/>
    <s v="FRETE FAZ RECREIO  PARA LENCOIS PAULISTA"/>
    <s v="0000"/>
    <e v="#N/A"/>
    <s v="0000"/>
    <n v="371055"/>
    <n v="10776543"/>
    <n v="230.5"/>
    <s v="KM"/>
    <n v="13.69"/>
    <n v="3155.5450000000001"/>
  </r>
  <r>
    <x v="58"/>
    <x v="24"/>
    <x v="2"/>
    <x v="2"/>
    <x v="3"/>
    <x v="0"/>
    <n v="1000238"/>
    <s v="SERV DESP PEDAGIO"/>
    <s v="PEDAGIO FRETE FAZ RECREIO  PARA LENCOIS PAULISTA"/>
    <s v="0000"/>
    <e v="#N/A"/>
    <s v="0000"/>
    <n v="371055"/>
    <n v="10776543"/>
    <n v="1"/>
    <s v="UA"/>
    <n v="236.71"/>
    <n v="236.71"/>
  </r>
  <r>
    <x v="59"/>
    <x v="24"/>
    <x v="2"/>
    <x v="1"/>
    <x v="3"/>
    <x v="0"/>
    <n v="1000287"/>
    <s v="SERV FRETE CAMINHAO PRANCHA AGRIC"/>
    <s v="AGUARDANDO CARREGAMENTO FAZ RECREIO  PARA LENCOIS PAULISTA"/>
    <s v="0000"/>
    <e v="#N/A"/>
    <s v="0000"/>
    <n v="371055"/>
    <n v="10776543"/>
    <n v="250"/>
    <s v="KM"/>
    <n v="13.69"/>
    <n v="3422.5"/>
  </r>
  <r>
    <x v="60"/>
    <x v="25"/>
    <x v="2"/>
    <x v="0"/>
    <x v="3"/>
    <x v="0"/>
    <n v="1000287"/>
    <s v="SERV FRETE CAMINHAO PRANCHA AGRIC"/>
    <s v="FRETE FAZ LENCOIS PAULISTA  PARA RECREIO"/>
    <n v="4010"/>
    <s v="AVAI"/>
    <s v="0011"/>
    <n v="371055"/>
    <n v="10776543"/>
    <n v="183.4"/>
    <s v="KM"/>
    <n v="13.69"/>
    <n v="2510.7460000000001"/>
  </r>
  <r>
    <x v="61"/>
    <x v="25"/>
    <x v="2"/>
    <x v="2"/>
    <x v="3"/>
    <x v="0"/>
    <n v="1000238"/>
    <s v="SERV DESP PEDAGIO"/>
    <s v="PEDAGIO FRETE FAZ LENCOIS PAULISTA  PARA RECREIO"/>
    <n v="4010"/>
    <s v="AVAI"/>
    <s v="0011"/>
    <n v="371055"/>
    <n v="10776543"/>
    <n v="1"/>
    <s v="UA"/>
    <n v="161"/>
    <n v="161"/>
  </r>
  <r>
    <x v="62"/>
    <x v="25"/>
    <x v="2"/>
    <x v="0"/>
    <x v="3"/>
    <x v="1"/>
    <n v="1000287"/>
    <s v="SERV FRETE CAMINHAO PRANCHA AGRIC"/>
    <s v="FRETE FAZ PORTO BELO  PARA RECREIO"/>
    <n v="4010"/>
    <s v="AVAI"/>
    <s v="0011"/>
    <n v="371055"/>
    <n v="10776391"/>
    <n v="301"/>
    <s v="KM"/>
    <n v="12.28"/>
    <n v="3696.2799999999997"/>
  </r>
  <r>
    <x v="63"/>
    <x v="25"/>
    <x v="2"/>
    <x v="2"/>
    <x v="3"/>
    <x v="1"/>
    <n v="1000238"/>
    <s v="SERV DESP PEDAGIO"/>
    <s v="PEDAGIOFRETE FAZ PORTO BELO  PARA RECREIO"/>
    <n v="4010"/>
    <s v="AVAI"/>
    <s v="0011"/>
    <n v="371055"/>
    <n v="10776391"/>
    <n v="1"/>
    <s v="UA"/>
    <n v="191.61"/>
    <n v="191.61"/>
  </r>
  <r>
    <x v="64"/>
    <x v="26"/>
    <x v="2"/>
    <x v="0"/>
    <x v="7"/>
    <x v="5"/>
    <n v="1000287"/>
    <s v="SERV FRETE CAMINHAO PRANCHA AGRIC"/>
    <s v="FRETE OFICINA GUTIERREZ PARA FAZ CARRETAO I"/>
    <n v="4071"/>
    <s v="SANTA CRUZ DO RIO PARDO"/>
    <s v="0236"/>
    <n v="375040"/>
    <n v="10781247"/>
    <n v="167"/>
    <s v="KM"/>
    <n v="12.06"/>
    <n v="2014.02"/>
  </r>
  <r>
    <x v="65"/>
    <x v="26"/>
    <x v="2"/>
    <x v="2"/>
    <x v="7"/>
    <x v="5"/>
    <n v="1000238"/>
    <s v="SERV DESP PEDAGIO"/>
    <s v="PEDAGIO OFICINA GUTIERREZ PARA FAZ CARRETAO I"/>
    <n v="4071"/>
    <s v="SANTA CRUZ DO RIO PARDO"/>
    <s v="0236"/>
    <n v="375040"/>
    <n v="10781247"/>
    <n v="1"/>
    <s v="UA"/>
    <n v="97.06"/>
    <n v="97.06"/>
  </r>
  <r>
    <x v="66"/>
    <x v="26"/>
    <x v="2"/>
    <x v="7"/>
    <x v="7"/>
    <x v="5"/>
    <n v="2700618"/>
    <s v="SERV DESP GERAIS"/>
    <s v="SEGURO OFICINA GUTIERREZ PARA FAZ CARRETAO I"/>
    <n v="4071"/>
    <s v="SANTA CRUZ DO RIO PARDO"/>
    <s v="0236"/>
    <n v="375040"/>
    <n v="10781247"/>
    <n v="1"/>
    <s v="UA"/>
    <n v="260"/>
    <n v="260"/>
  </r>
  <r>
    <x v="67"/>
    <x v="26"/>
    <x v="2"/>
    <x v="0"/>
    <x v="4"/>
    <x v="1"/>
    <n v="1000287"/>
    <s v="SERV FRETE CAMINHAO PRANCHA AGRIC"/>
    <s v="FRETE FAZ SELVA  PARA AMERICANA"/>
    <n v="4048"/>
    <s v="ITATINGA"/>
    <s v="0473"/>
    <n v="371065"/>
    <n v="10780438"/>
    <n v="250"/>
    <s v="KM"/>
    <n v="12.28"/>
    <n v="3070"/>
  </r>
  <r>
    <x v="68"/>
    <x v="26"/>
    <x v="2"/>
    <x v="2"/>
    <x v="4"/>
    <x v="1"/>
    <n v="1000238"/>
    <s v="SERV DESP PEDAGIO"/>
    <s v="PEDAGIO FRETE FAZ SELVA  PARA AMERICANA"/>
    <n v="4048"/>
    <s v="ITATINGA"/>
    <s v="0473"/>
    <n v="371065"/>
    <n v="10780438"/>
    <n v="1"/>
    <s v="UA"/>
    <n v="125.86"/>
    <n v="125.86"/>
  </r>
  <r>
    <x v="69"/>
    <x v="26"/>
    <x v="2"/>
    <x v="0"/>
    <x v="4"/>
    <x v="1"/>
    <n v="1000287"/>
    <s v="SERV FRETE CAMINHAO PRANCHA AGRIC"/>
    <s v="FRETE FAZ SELVA  PARA AMERICANA"/>
    <n v="4048"/>
    <s v="ITATINGA"/>
    <s v="0473"/>
    <n v="371065"/>
    <n v="10780438"/>
    <n v="268"/>
    <s v="KM"/>
    <n v="12.28"/>
    <n v="3291.04"/>
  </r>
  <r>
    <x v="70"/>
    <x v="26"/>
    <x v="2"/>
    <x v="2"/>
    <x v="4"/>
    <x v="1"/>
    <n v="1000238"/>
    <s v="SERV DESP PEDAGIO"/>
    <s v="PEDAGIO FRETE FAZ SELVA  PARA AMERICANA"/>
    <n v="4048"/>
    <s v="ITATINGA"/>
    <s v="0473"/>
    <n v="371065"/>
    <n v="10780438"/>
    <n v="1"/>
    <s v="UA"/>
    <n v="220.66"/>
    <n v="220.66"/>
  </r>
  <r>
    <x v="71"/>
    <x v="27"/>
    <x v="2"/>
    <x v="0"/>
    <x v="3"/>
    <x v="0"/>
    <n v="1000287"/>
    <s v="SERV FRETE CAMINHAO PRANCHA AGRIC"/>
    <s v="FRETE FAZ RECREIO  PARA PORTO BELO"/>
    <n v="4031"/>
    <s v="ESPIRITO SANTO DO TURVO"/>
    <s v="0233"/>
    <n v="371055"/>
    <n v="10780443"/>
    <n v="635.1"/>
    <s v="KM"/>
    <n v="13.69"/>
    <n v="8694.5190000000002"/>
  </r>
  <r>
    <x v="72"/>
    <x v="27"/>
    <x v="2"/>
    <x v="2"/>
    <x v="3"/>
    <x v="0"/>
    <n v="1000238"/>
    <s v="SERV DESP PEDAGIO"/>
    <s v="PEDAGIO FRETE FAZ RECREIO  PARA PORTO BELO"/>
    <n v="4031"/>
    <s v="ESPIRITO SANTO DO TURVO"/>
    <s v="0233"/>
    <n v="371055"/>
    <n v="10780443"/>
    <n v="1"/>
    <s v="UA"/>
    <n v="409.91"/>
    <n v="409.91"/>
  </r>
  <r>
    <x v="73"/>
    <x v="26"/>
    <x v="2"/>
    <x v="0"/>
    <x v="5"/>
    <x v="0"/>
    <n v="1000287"/>
    <s v="SERV FRETE CAMINHAO PRANCHA AGRIC"/>
    <s v="FRETE FAZ AMERICANA  PARA LAGOA RICA"/>
    <n v="4001"/>
    <s v="AGUAS DE SANTA BARBARA"/>
    <s v="0035"/>
    <n v="371045"/>
    <n v="10780443"/>
    <n v="625.20000000000005"/>
    <s v="KM"/>
    <n v="13.69"/>
    <n v="8558.9880000000012"/>
  </r>
  <r>
    <x v="74"/>
    <x v="26"/>
    <x v="2"/>
    <x v="2"/>
    <x v="5"/>
    <x v="0"/>
    <n v="1000238"/>
    <s v="SERV DESP PEDAGIO"/>
    <s v="PEDAGIO FRETE FAZ AMERICANA  PARA LAGOA RICA"/>
    <n v="4001"/>
    <s v="AGUAS DE SANTA BARBARA"/>
    <s v="0035"/>
    <n v="371045"/>
    <n v="10780443"/>
    <n v="1"/>
    <s v="UA"/>
    <n v="355.9"/>
    <n v="355.9"/>
  </r>
  <r>
    <x v="75"/>
    <x v="26"/>
    <x v="2"/>
    <x v="0"/>
    <x v="4"/>
    <x v="0"/>
    <n v="1000287"/>
    <s v="SERV FRETE CAMINHAO PRANCHA AGRIC"/>
    <s v="FRETE FAZ SELVA  PARA AMERICANA"/>
    <n v="4048"/>
    <s v="ITATINGA"/>
    <s v="0473"/>
    <n v="371065"/>
    <n v="10780443"/>
    <n v="308.39999999999998"/>
    <s v="KM"/>
    <n v="13.69"/>
    <n v="4221.9959999999992"/>
  </r>
  <r>
    <x v="76"/>
    <x v="26"/>
    <x v="2"/>
    <x v="2"/>
    <x v="4"/>
    <x v="0"/>
    <n v="1000238"/>
    <s v="SERV DESP PEDAGIO"/>
    <s v="PEDAGIO FRETE FAZ SELVA  PARA AMERICANA"/>
    <n v="4048"/>
    <s v="ITATINGA"/>
    <s v="0473"/>
    <n v="371065"/>
    <n v="10780443"/>
    <n v="1"/>
    <s v="UA"/>
    <n v="142.86000000000001"/>
    <n v="142.86000000000001"/>
  </r>
  <r>
    <x v="77"/>
    <x v="28"/>
    <x v="2"/>
    <x v="0"/>
    <x v="4"/>
    <x v="0"/>
    <n v="1000287"/>
    <s v="SERV FRETE CAMINHAO PRANCHA AGRIC"/>
    <s v="FRETE FAZ BOA VISTA I  PARA SELVA"/>
    <n v="4016"/>
    <s v="BOREBI"/>
    <s v="0015"/>
    <n v="371065"/>
    <n v="10780443"/>
    <n v="765.8"/>
    <s v="KM"/>
    <n v="13.69"/>
    <n v="10483.802"/>
  </r>
  <r>
    <x v="78"/>
    <x v="28"/>
    <x v="2"/>
    <x v="2"/>
    <x v="4"/>
    <x v="0"/>
    <n v="1000238"/>
    <s v="SERV DESP PEDAGIO"/>
    <s v="PEDAGIO FRETE FAZ BOA VISTA I  PARA SELVA"/>
    <n v="4016"/>
    <s v="BOREBI"/>
    <s v="0015"/>
    <n v="371065"/>
    <n v="10780443"/>
    <n v="1"/>
    <s v="UA"/>
    <n v="620"/>
    <n v="620"/>
  </r>
  <r>
    <x v="79"/>
    <x v="29"/>
    <x v="2"/>
    <x v="0"/>
    <x v="5"/>
    <x v="0"/>
    <n v="1000287"/>
    <s v="SERV FRETE CAMINHAO PRANCHA AGRIC"/>
    <s v="FRETE FAZ LAGOA RICA  PARA AMERICANA"/>
    <n v="4048"/>
    <s v="ITATINGA"/>
    <s v="0473"/>
    <n v="371045"/>
    <n v="10780443"/>
    <n v="345"/>
    <s v="KM"/>
    <n v="13.69"/>
    <n v="4723.05"/>
  </r>
  <r>
    <x v="80"/>
    <x v="29"/>
    <x v="2"/>
    <x v="2"/>
    <x v="5"/>
    <x v="0"/>
    <n v="1000238"/>
    <s v="SERV DESP PEDAGIO"/>
    <s v="PEDAGIO FRETE FAZ LAGOA RICA  PARA AMERICANA"/>
    <n v="4048"/>
    <s v="ITATINGA"/>
    <s v="0473"/>
    <n v="371045"/>
    <n v="10780443"/>
    <n v="1"/>
    <s v="UA"/>
    <n v="156.68"/>
    <n v="156.68"/>
  </r>
  <r>
    <x v="81"/>
    <x v="30"/>
    <x v="2"/>
    <x v="0"/>
    <x v="4"/>
    <x v="0"/>
    <n v="1000238"/>
    <s v="SERV DESP PEDAGIO"/>
    <s v="FRETE FAZ SELVA  PARA BOA VISTA II"/>
    <n v="4067"/>
    <s v="PRATANIA"/>
    <s v="0098"/>
    <n v="371065"/>
    <n v="10780472"/>
    <n v="435.3"/>
    <s v="KM"/>
    <n v="13.69"/>
    <n v="5959.2569999999996"/>
  </r>
  <r>
    <x v="82"/>
    <x v="30"/>
    <x v="2"/>
    <x v="2"/>
    <x v="4"/>
    <x v="0"/>
    <n v="1000287"/>
    <s v="SERV FRETE CAMINHAO PRANCHA AGRIC"/>
    <s v="PEDAGIO FRETE FAZ SELVA  PARA BOA VISTA II"/>
    <n v="4067"/>
    <s v="PRATANIA"/>
    <s v="0098"/>
    <n v="371065"/>
    <n v="10780472"/>
    <n v="1"/>
    <s v="UA"/>
    <n v="205.2"/>
    <n v="205.2"/>
  </r>
  <r>
    <x v="83"/>
    <x v="31"/>
    <x v="2"/>
    <x v="2"/>
    <x v="3"/>
    <x v="0"/>
    <n v="1000238"/>
    <s v="SERV DESP PEDAGIO"/>
    <s v="FRETE FAZ CARRETAO I PARA SANTA TEREZINHA VII"/>
    <n v="4002"/>
    <s v="AGUDOS"/>
    <n v="2263"/>
    <n v="371055"/>
    <n v="10780472"/>
    <n v="1027.5"/>
    <s v="KM"/>
    <n v="13.69"/>
    <n v="14066.475"/>
  </r>
  <r>
    <x v="84"/>
    <x v="31"/>
    <x v="2"/>
    <x v="2"/>
    <x v="3"/>
    <x v="0"/>
    <n v="1000287"/>
    <s v="SERV FRETE CAMINHAO PRANCHA AGRIC"/>
    <s v="PEDAGIO FRETE FAZ CARRETAO I  PARA SANTA TEREZINHA VII"/>
    <n v="4002"/>
    <s v="AGUDOS"/>
    <n v="2263"/>
    <n v="371055"/>
    <n v="10780472"/>
    <n v="1"/>
    <s v="UA"/>
    <n v="912.6"/>
    <n v="912.6"/>
  </r>
  <r>
    <x v="85"/>
    <x v="32"/>
    <x v="2"/>
    <x v="2"/>
    <x v="5"/>
    <x v="0"/>
    <n v="1000238"/>
    <s v="SERV DESP PEDAGIO"/>
    <s v="FRETE FAZ BOA VISTA II PARA SANTA TEREZINHA VII"/>
    <n v="4002"/>
    <s v="AGUDOS"/>
    <n v="2263"/>
    <n v="371045"/>
    <n v="10780472"/>
    <n v="242.2"/>
    <s v="KM"/>
    <n v="13.69"/>
    <n v="3315.7179999999998"/>
  </r>
  <r>
    <x v="86"/>
    <x v="32"/>
    <x v="2"/>
    <x v="2"/>
    <x v="5"/>
    <x v="0"/>
    <n v="1000287"/>
    <s v="SERV FRETE CAMINHAO PRANCHA AGRIC"/>
    <s v="PEDAGIO FRETE FAZ BOA VISTA II PARA SANTA TEREZINHA VII"/>
    <n v="4002"/>
    <s v="AGUDOS"/>
    <n v="2263"/>
    <n v="371045"/>
    <n v="10780472"/>
    <n v="1"/>
    <s v="UA"/>
    <n v="217"/>
    <n v="217"/>
  </r>
  <r>
    <x v="87"/>
    <x v="32"/>
    <x v="2"/>
    <x v="1"/>
    <x v="5"/>
    <x v="0"/>
    <n v="1000287"/>
    <s v="SERV FRETE CAMINHAO PRANCHA AGRIC"/>
    <s v="FRANQUIA FRETE FAZ BOA VISTA II PARA SANTA TEREZINHA VII"/>
    <n v="4002"/>
    <s v="AGUDOS"/>
    <n v="2263"/>
    <n v="371045"/>
    <n v="10780472"/>
    <n v="250"/>
    <s v="KM"/>
    <n v="13.69"/>
    <n v="3422.5"/>
  </r>
  <r>
    <x v="88"/>
    <x v="32"/>
    <x v="2"/>
    <x v="0"/>
    <x v="3"/>
    <x v="0"/>
    <n v="1000287"/>
    <s v="SERV FRETE CAMINHAO PRANCHA AGRIC"/>
    <s v="FRETE FAZ PORTO BELO I PARA TAPERA QUEIMADA"/>
    <n v="4016"/>
    <s v="BOREBI"/>
    <s v="0019"/>
    <n v="371055"/>
    <n v="10780472"/>
    <n v="901.5"/>
    <s v="KM"/>
    <n v="13.69"/>
    <n v="12341.535"/>
  </r>
  <r>
    <x v="89"/>
    <x v="32"/>
    <x v="2"/>
    <x v="2"/>
    <x v="3"/>
    <x v="0"/>
    <n v="1000238"/>
    <s v="SERV DESP PEDAGIO"/>
    <s v="PEDAGIO FRETE FAZ PORTO BELO I PARA TAPERA QUEIMADA"/>
    <n v="4016"/>
    <s v="BOREBI"/>
    <s v="0019"/>
    <n v="371055"/>
    <n v="10780472"/>
    <n v="1"/>
    <s v="UA"/>
    <n v="676"/>
    <n v="676"/>
  </r>
  <r>
    <x v="90"/>
    <x v="33"/>
    <x v="2"/>
    <x v="6"/>
    <x v="2"/>
    <x v="4"/>
    <s v="0000000"/>
    <s v="SERVIÇOS APONTADOS NO SGF"/>
    <s v="APONTAMENTOS REALIZADOS NO SGF POR DIÁRIA DE TRUCK"/>
    <s v="0000"/>
    <e v="#N/A"/>
    <s v="0000"/>
    <n v="371075"/>
    <s v="00000000"/>
    <n v="1"/>
    <s v="UA"/>
    <n v="384444.91200000007"/>
    <n v="384444.91200000007"/>
  </r>
  <r>
    <x v="91"/>
    <x v="33"/>
    <x v="2"/>
    <x v="0"/>
    <x v="3"/>
    <x v="1"/>
    <n v="1000287"/>
    <s v="SERV FRETE CAMINHAO PRANCHA AGRIC"/>
    <s v="FRETE FAZ TAPERA QUEIMADA I PARA SANTA ELISA"/>
    <n v="4009"/>
    <s v="AREALVA"/>
    <s v="0103"/>
    <n v="371055"/>
    <n v="10781343"/>
    <n v="250"/>
    <s v="KM"/>
    <n v="12.28"/>
    <n v="3070"/>
  </r>
  <r>
    <x v="92"/>
    <x v="33"/>
    <x v="2"/>
    <x v="2"/>
    <x v="3"/>
    <x v="1"/>
    <n v="1000238"/>
    <s v="SERV DESP PEDAGIO"/>
    <s v="PEDAGIO FRETE FAZ TAPERA QUEIMADA I PARA SANTA ELISA"/>
    <n v="4009"/>
    <s v="AREALVA"/>
    <s v="0103"/>
    <n v="371055"/>
    <n v="10781343"/>
    <n v="1"/>
    <s v="UA"/>
    <n v="91.2"/>
    <n v="91.2"/>
  </r>
  <r>
    <x v="93"/>
    <x v="33"/>
    <x v="2"/>
    <x v="0"/>
    <x v="3"/>
    <x v="1"/>
    <n v="1000287"/>
    <s v="SERV FRETE CAMINHAO PRANCHA AGRIC"/>
    <s v="FRETE FAZ TAPERA QUEIMADA I PARA SANTA ELISA"/>
    <n v="4009"/>
    <s v="AREALVA"/>
    <s v="0103"/>
    <n v="371055"/>
    <n v="10781343"/>
    <n v="250"/>
    <s v="KM"/>
    <n v="12.28"/>
    <n v="3070"/>
  </r>
  <r>
    <x v="94"/>
    <x v="33"/>
    <x v="2"/>
    <x v="2"/>
    <x v="3"/>
    <x v="1"/>
    <n v="1000238"/>
    <s v="SERV DESP PEDAGIO"/>
    <s v="PEDAGIO FRETE FAZ TAPERA QUEIMADA I PARA SANTA ELISA"/>
    <n v="4009"/>
    <s v="AREALVA"/>
    <s v="0103"/>
    <n v="371055"/>
    <n v="10781343"/>
    <n v="1"/>
    <s v="UA"/>
    <n v="91.2"/>
    <n v="91.2"/>
  </r>
  <r>
    <x v="95"/>
    <x v="34"/>
    <x v="5"/>
    <x v="0"/>
    <x v="2"/>
    <x v="1"/>
    <n v="1000287"/>
    <s v="SERV FRETE CAMINHAO PRANCHA AGRIC"/>
    <s v="FRETE BASE PIRAJUI I PARA PINDORAMA GLEBA B"/>
    <n v="4039"/>
    <s v="IACANGA"/>
    <n v="2410"/>
    <n v="371075"/>
    <n v="10781343"/>
    <n v="161"/>
    <s v="KM"/>
    <n v="12.28"/>
    <n v="1977.08"/>
  </r>
  <r>
    <x v="96"/>
    <x v="34"/>
    <x v="5"/>
    <x v="2"/>
    <x v="2"/>
    <x v="1"/>
    <n v="1000238"/>
    <s v="SERV DESP PEDAGIO"/>
    <s v="PEDAGIO FRETE BASE PIRAJUI I PARA PINDORAMA GLEBA B"/>
    <n v="4039"/>
    <s v="IACANGA"/>
    <n v="2410"/>
    <n v="371075"/>
    <n v="10781343"/>
    <n v="1"/>
    <s v="UA"/>
    <n v="92.4"/>
    <n v="92.4"/>
  </r>
  <r>
    <x v="97"/>
    <x v="34"/>
    <x v="5"/>
    <x v="0"/>
    <x v="2"/>
    <x v="1"/>
    <n v="1000287"/>
    <s v="SERV FRETE CAMINHAO PRANCHA AGRIC"/>
    <s v="FRETE FAZ SANTA ELISA I PARA PINDORAMA GLEBA B"/>
    <n v="4039"/>
    <s v="IACANGA"/>
    <n v="2410"/>
    <n v="371075"/>
    <n v="10781343"/>
    <n v="224"/>
    <s v="KM"/>
    <n v="12.28"/>
    <n v="2750.72"/>
  </r>
  <r>
    <x v="98"/>
    <x v="34"/>
    <x v="5"/>
    <x v="2"/>
    <x v="2"/>
    <x v="1"/>
    <n v="1000238"/>
    <s v="SERV DESP PEDAGIO"/>
    <s v="PEDAGIO FRETE FAZ SANTA ELISA I PARA PINDORAMA GLEBA B"/>
    <n v="4039"/>
    <s v="IACANGA"/>
    <n v="2410"/>
    <n v="371075"/>
    <n v="10781343"/>
    <n v="1"/>
    <s v="UA"/>
    <n v="45.6"/>
    <n v="45.6"/>
  </r>
  <r>
    <x v="99"/>
    <x v="35"/>
    <x v="5"/>
    <x v="0"/>
    <x v="2"/>
    <x v="1"/>
    <n v="1000287"/>
    <s v="SERV FRETE CAMINHAO PRANCHA AGRIC"/>
    <s v="FRETE FAZ PINDORA GLEBA C I PARA SANTA HELENA III"/>
    <n v="4050"/>
    <s v="JULIO MESQUITA"/>
    <s v="0224"/>
    <n v="371075"/>
    <n v="10781343"/>
    <n v="360"/>
    <s v="KM"/>
    <n v="12.28"/>
    <n v="4420.8"/>
  </r>
  <r>
    <x v="100"/>
    <x v="35"/>
    <x v="5"/>
    <x v="2"/>
    <x v="2"/>
    <x v="1"/>
    <n v="1000238"/>
    <s v="SERV DESP PEDAGIO"/>
    <s v="PEDAGIO FRETE FAZ PINDORA GLEBA C I PARA SANTA HELENA III"/>
    <n v="4050"/>
    <s v="JULIO MESQUITA"/>
    <s v="0224"/>
    <n v="371075"/>
    <n v="10781343"/>
    <n v="1"/>
    <s v="UA"/>
    <n v="225.6"/>
    <n v="225.6"/>
  </r>
  <r>
    <x v="101"/>
    <x v="36"/>
    <x v="5"/>
    <x v="0"/>
    <x v="2"/>
    <x v="1"/>
    <n v="1000287"/>
    <s v="SERV FRETE CAMINHAO PRANCHA AGRIC"/>
    <s v="FRETE FAZ AMERICANA I PARA LAGOA RICA"/>
    <n v="4001"/>
    <s v="AGUAS DE SANTA BARBARA"/>
    <s v="0035"/>
    <n v="371075"/>
    <n v="10781343"/>
    <n v="337"/>
    <s v="KM"/>
    <n v="12.28"/>
    <n v="4138.3599999999997"/>
  </r>
  <r>
    <x v="102"/>
    <x v="36"/>
    <x v="5"/>
    <x v="2"/>
    <x v="2"/>
    <x v="1"/>
    <n v="1000238"/>
    <s v="SERV DESP PEDAGIO"/>
    <s v="PEDAGIO FRETE FAZ AMERICANA I PARA LAGOA RICA"/>
    <n v="4001"/>
    <s v="AGUAS DE SANTA BARBARA"/>
    <s v="0035"/>
    <n v="371075"/>
    <n v="10781343"/>
    <n v="1"/>
    <s v="UA"/>
    <n v="262.2"/>
    <n v="262.2"/>
  </r>
  <r>
    <x v="103"/>
    <x v="36"/>
    <x v="5"/>
    <x v="0"/>
    <x v="4"/>
    <x v="1"/>
    <n v="1000287"/>
    <s v="SERV FRETE CAMINHAO PRANCHA AGRIC"/>
    <s v="FRETE FAZ AMERICANA I PARA LAGOA RICA"/>
    <n v="4001"/>
    <s v="AGUAS DE SANTA BARBARA"/>
    <s v="0035"/>
    <n v="371065"/>
    <n v="10781343"/>
    <n v="322"/>
    <s v="KM"/>
    <n v="12.28"/>
    <n v="3954.16"/>
  </r>
  <r>
    <x v="104"/>
    <x v="36"/>
    <x v="5"/>
    <x v="2"/>
    <x v="4"/>
    <x v="1"/>
    <n v="1000238"/>
    <s v="SERV DESP PEDAGIO"/>
    <s v="PEDAGIO FRETE FAZ AMERICANA I PARA LAGOA RICA"/>
    <n v="4001"/>
    <s v="AGUAS DE SANTA BARBARA"/>
    <s v="0035"/>
    <n v="371065"/>
    <n v="10781343"/>
    <n v="1"/>
    <s v="UA"/>
    <n v="259.43"/>
    <n v="259.43"/>
  </r>
  <r>
    <x v="105"/>
    <x v="37"/>
    <x v="5"/>
    <x v="0"/>
    <x v="4"/>
    <x v="1"/>
    <n v="1000287"/>
    <s v="SERV FRETE CAMINHAO PRANCHA AGRIC"/>
    <s v="FRETE FAZ LAGOA RICA I PARA AMERICANA"/>
    <n v="4048"/>
    <s v="ITATINGA"/>
    <s v="0473"/>
    <n v="371065"/>
    <n v="10781343"/>
    <n v="313"/>
    <s v="KM"/>
    <n v="12.28"/>
    <n v="3843.64"/>
  </r>
  <r>
    <x v="106"/>
    <x v="37"/>
    <x v="5"/>
    <x v="2"/>
    <x v="4"/>
    <x v="1"/>
    <n v="1000238"/>
    <s v="SERV DESP PEDAGIO"/>
    <s v="PEDAGIO FRETE FAZ LAGOA RICA I PARA AMERICANA"/>
    <n v="4048"/>
    <s v="ITATINGA"/>
    <s v="0473"/>
    <n v="371065"/>
    <n v="10781343"/>
    <n v="1"/>
    <s v="UA"/>
    <n v="296.63"/>
    <n v="296.63"/>
  </r>
  <r>
    <x v="107"/>
    <x v="38"/>
    <x v="5"/>
    <x v="0"/>
    <x v="3"/>
    <x v="1"/>
    <n v="1000287"/>
    <s v="SERV FRETE CAMINHAO PRANCHA AGRIC"/>
    <s v="FRETE FAZ SANTA THEREZIINHA I PARA SANTA HELENA III"/>
    <n v="4050"/>
    <s v="JULIO MESQUITA"/>
    <s v="0224"/>
    <n v="371055"/>
    <n v="10781343"/>
    <n v="374"/>
    <s v="KM"/>
    <n v="12.28"/>
    <n v="4592.7199999999993"/>
  </r>
  <r>
    <x v="108"/>
    <x v="38"/>
    <x v="5"/>
    <x v="2"/>
    <x v="3"/>
    <x v="1"/>
    <n v="1000238"/>
    <s v="SERV DESP PEDAGIO"/>
    <s v="PEDAGIO FRETE FAZ SANTA THEREZINHA I PARA SANTA HELENA III"/>
    <n v="4050"/>
    <s v="JULIO MESQUITA"/>
    <s v="0224"/>
    <n v="371055"/>
    <n v="10781343"/>
    <n v="1"/>
    <s v="UA"/>
    <n v="272.39999999999998"/>
    <n v="272.39999999999998"/>
  </r>
  <r>
    <x v="109"/>
    <x v="38"/>
    <x v="5"/>
    <x v="0"/>
    <x v="3"/>
    <x v="1"/>
    <n v="1000287"/>
    <s v="SERV FRETE CAMINHAO PRANCHA AGRIC"/>
    <s v="FRETE FAZ SANTA THEREZIINHA I PARA SANTA HELENA III"/>
    <n v="4050"/>
    <s v="JULIO MESQUITA"/>
    <s v="0224"/>
    <n v="371055"/>
    <n v="10781343"/>
    <n v="366"/>
    <s v="KM"/>
    <n v="12.28"/>
    <n v="4494.4799999999996"/>
  </r>
  <r>
    <x v="110"/>
    <x v="38"/>
    <x v="5"/>
    <x v="2"/>
    <x v="3"/>
    <x v="1"/>
    <n v="1000238"/>
    <s v="SERV DESP PEDAGIO"/>
    <s v="PEDAGIO FRETE FAZ SANTA THEREZINHA I PARA SANTA HELENA III"/>
    <n v="4050"/>
    <s v="JULIO MESQUITA"/>
    <s v="0224"/>
    <n v="371055"/>
    <n v="10781343"/>
    <n v="1"/>
    <s v="UA"/>
    <n v="272.39999999999998"/>
    <n v="272.39999999999998"/>
  </r>
  <r>
    <x v="111"/>
    <x v="39"/>
    <x v="5"/>
    <x v="0"/>
    <x v="4"/>
    <x v="1"/>
    <n v="1000287"/>
    <s v="SERV FRETE CAMINHAO PRANCHA AGRIC"/>
    <s v="FRETE FAZ MACEDONIA I PARA BOA VISTA II"/>
    <n v="4067"/>
    <s v="PRATANIA"/>
    <s v="0098"/>
    <n v="371065"/>
    <n v="10781343"/>
    <n v="181"/>
    <s v="KM"/>
    <n v="12.28"/>
    <n v="2222.6799999999998"/>
  </r>
  <r>
    <x v="112"/>
    <x v="39"/>
    <x v="5"/>
    <x v="2"/>
    <x v="4"/>
    <x v="1"/>
    <n v="1000238"/>
    <s v="SERV DESP PEDAGIO"/>
    <s v="PEDAGIO FRETE FAZ MACEDONIA I PARA BOA VISTA II"/>
    <n v="4067"/>
    <s v="PRATANIA"/>
    <s v="0098"/>
    <n v="371065"/>
    <n v="10781343"/>
    <n v="1"/>
    <s v="UA"/>
    <n v="165.09"/>
    <n v="165.09"/>
  </r>
  <r>
    <x v="113"/>
    <x v="39"/>
    <x v="5"/>
    <x v="0"/>
    <x v="4"/>
    <x v="1"/>
    <n v="1000287"/>
    <s v="SERV FRETE CAMINHAO PRANCHA AGRIC"/>
    <s v="FRETE FAZ AMERICANA PARA MACEDONIA"/>
    <n v="4048"/>
    <s v="ITATINGA"/>
    <s v="0478"/>
    <n v="371065"/>
    <n v="10781343"/>
    <n v="122"/>
    <s v="KM"/>
    <n v="12.28"/>
    <n v="1498.1599999999999"/>
  </r>
  <r>
    <x v="114"/>
    <x v="39"/>
    <x v="5"/>
    <x v="2"/>
    <x v="4"/>
    <x v="1"/>
    <n v="1000238"/>
    <s v="SERV DESP PEDAGIO"/>
    <s v="PEDAGIO FRETE FAZ AMERICANA PARA MACEDONIA"/>
    <n v="4048"/>
    <s v="ITATINGA"/>
    <s v="0478"/>
    <n v="371065"/>
    <n v="10781343"/>
    <n v="1"/>
    <s v="UA"/>
    <n v="86.63"/>
    <n v="86.63"/>
  </r>
  <r>
    <x v="115"/>
    <x v="39"/>
    <x v="5"/>
    <x v="0"/>
    <x v="2"/>
    <x v="1"/>
    <n v="1000287"/>
    <s v="SERV FRETE CAMINHAO PRANCHA AGRIC"/>
    <s v="FRETE FAZ PINDORAMA II PARA SANTA HELENA III"/>
    <n v="4050"/>
    <s v="JULIO MESQUITA"/>
    <s v="0224"/>
    <n v="371075"/>
    <n v="10781343"/>
    <n v="411"/>
    <s v="KM"/>
    <n v="12.28"/>
    <n v="5047.08"/>
  </r>
  <r>
    <x v="116"/>
    <x v="39"/>
    <x v="5"/>
    <x v="2"/>
    <x v="2"/>
    <x v="1"/>
    <n v="1000238"/>
    <s v="SERV DESP PEDAGIO"/>
    <s v="PEDAGIO FRETE FAZ PINDORAMA II PARA SANTA HELENA III"/>
    <n v="4050"/>
    <s v="JULIO MESQUITA"/>
    <s v="0224"/>
    <n v="371075"/>
    <n v="10781343"/>
    <n v="1"/>
    <s v="UA"/>
    <n v="272.39999999999998"/>
    <n v="272.39999999999998"/>
  </r>
  <r>
    <x v="117"/>
    <x v="39"/>
    <x v="5"/>
    <x v="0"/>
    <x v="2"/>
    <x v="1"/>
    <n v="1000287"/>
    <s v="SERV FRETE CAMINHAO PRANCHA AGRIC"/>
    <s v="FRETE FAZ PINDORAMA II PARA SANTA HELENA III"/>
    <n v="4050"/>
    <s v="JULIO MESQUITA"/>
    <s v="0224"/>
    <n v="371075"/>
    <n v="10781343"/>
    <n v="407"/>
    <s v="KM"/>
    <n v="12.28"/>
    <n v="4997.96"/>
  </r>
  <r>
    <x v="118"/>
    <x v="39"/>
    <x v="5"/>
    <x v="2"/>
    <x v="2"/>
    <x v="1"/>
    <n v="1000238"/>
    <s v="SERV DESP PEDAGIO"/>
    <s v="PEDAGIO FRETE FAZ PINDORAMA II PARA SANTA HELENA III"/>
    <n v="4050"/>
    <s v="JULIO MESQUITA"/>
    <s v="0224"/>
    <n v="371075"/>
    <n v="10781343"/>
    <n v="1"/>
    <s v="UA"/>
    <n v="272.39999999999998"/>
    <n v="272.39999999999998"/>
  </r>
  <r>
    <x v="119"/>
    <x v="33"/>
    <x v="2"/>
    <x v="0"/>
    <x v="5"/>
    <x v="0"/>
    <n v="1000287"/>
    <s v="SERV FRETE CAMINHAO PRANCHA AGRIC"/>
    <s v="FRETE FAZ SANTA THEREZINHA"/>
    <n v="4002"/>
    <s v="AGUDOS"/>
    <s v="2263"/>
    <n v="371045"/>
    <n v="10781585"/>
    <n v="201.1"/>
    <s v="KM"/>
    <n v="13.69"/>
    <n v="2753.0589999999997"/>
  </r>
  <r>
    <x v="120"/>
    <x v="33"/>
    <x v="2"/>
    <x v="2"/>
    <x v="5"/>
    <x v="0"/>
    <n v="1000238"/>
    <s v="SERV DESP PEDAGIO"/>
    <s v="PEDAGIO FRETE FAZ SANTA THEREZINHA"/>
    <n v="4002"/>
    <s v="AGUDOS"/>
    <s v="2263"/>
    <n v="371045"/>
    <n v="10781585"/>
    <n v="1"/>
    <s v="UA"/>
    <n v="237.3"/>
    <n v="237.3"/>
  </r>
  <r>
    <x v="121"/>
    <x v="33"/>
    <x v="2"/>
    <x v="8"/>
    <x v="5"/>
    <x v="0"/>
    <n v="1000274"/>
    <s v="SERV ESCAV HIDR 21 TON AGRIC"/>
    <s v="SERV DE ESCAVADEIRA FAZ SANTA THEREZINHA"/>
    <n v="4002"/>
    <s v="AGUDOS"/>
    <s v="2263"/>
    <n v="371045"/>
    <n v="10781585"/>
    <n v="3.5"/>
    <s v="HORA"/>
    <n v="321.8"/>
    <n v="1126.3"/>
  </r>
  <r>
    <x v="122"/>
    <x v="33"/>
    <x v="2"/>
    <x v="1"/>
    <x v="5"/>
    <x v="0"/>
    <n v="1000287"/>
    <s v="SERV FRETE CAMINHAO PRANCHA AGRIC"/>
    <s v="FRANQUIA FRETE FAZ SANTA THEREZINHA"/>
    <n v="4002"/>
    <s v="AGUDOS"/>
    <s v="2263"/>
    <n v="371045"/>
    <n v="10781585"/>
    <n v="250"/>
    <s v="KM"/>
    <n v="13.69"/>
    <n v="3422.5"/>
  </r>
  <r>
    <x v="123"/>
    <x v="40"/>
    <x v="5"/>
    <x v="0"/>
    <x v="4"/>
    <x v="0"/>
    <n v="1000287"/>
    <s v="SERV FRETE CAMINHAO PRANCHA AGRIC"/>
    <s v="FRETE FAZ BOA VISTA II PARA FAZ TAPERA QUEIMADA"/>
    <n v="4016"/>
    <s v="BOREBI"/>
    <s v="0019"/>
    <n v="371065"/>
    <n v="10781585"/>
    <n v="656"/>
    <s v="KM"/>
    <n v="13.69"/>
    <n v="8980.64"/>
  </r>
  <r>
    <x v="124"/>
    <x v="40"/>
    <x v="5"/>
    <x v="2"/>
    <x v="4"/>
    <x v="0"/>
    <n v="1000238"/>
    <s v="SERV DESP PEDAGIO"/>
    <s v="PEDAGIO FRETE FAZ BOA VISTA II PARA FAZ TAPERA QUEIMADA"/>
    <n v="4016"/>
    <s v="BOREBI"/>
    <s v="0019"/>
    <n v="371065"/>
    <n v="10781585"/>
    <n v="1"/>
    <s v="UA"/>
    <n v="466.2"/>
    <n v="466.2"/>
  </r>
  <r>
    <x v="125"/>
    <x v="36"/>
    <x v="5"/>
    <x v="0"/>
    <x v="4"/>
    <x v="0"/>
    <n v="1000287"/>
    <s v="SERV FRETE CAMINHAO PRANCHA AGRIC"/>
    <s v="FRETE FAZ TAPERA QUEIMADA PARA LAGOA RICA"/>
    <n v="4001"/>
    <s v="AGUAS DE SANTA BARBARA"/>
    <s v="0035"/>
    <n v="371065"/>
    <n v="10781585"/>
    <n v="613"/>
    <s v="KM"/>
    <n v="13.69"/>
    <n v="8391.9699999999993"/>
  </r>
  <r>
    <x v="126"/>
    <x v="36"/>
    <x v="5"/>
    <x v="2"/>
    <x v="4"/>
    <x v="0"/>
    <n v="1000238"/>
    <s v="SERV DESP PEDAGIO"/>
    <s v="PEDAGIO FRETE FAZ TAPERA QUEIMADA PARA LAGOA RICA"/>
    <n v="4001"/>
    <s v="AGUAS DE SANTA BARBARA"/>
    <s v="0035"/>
    <n v="371065"/>
    <n v="10781585"/>
    <n v="1"/>
    <s v="UA"/>
    <n v="325.3"/>
    <n v="325.3"/>
  </r>
  <r>
    <x v="127"/>
    <x v="38"/>
    <x v="5"/>
    <x v="0"/>
    <x v="2"/>
    <x v="0"/>
    <n v="1000287"/>
    <s v="SERV FRETE CAMINHAO PRANCHA AGRIC"/>
    <s v="FRETE FAZ SANTA THEREZINHA VII PARA SANTA HELENA III"/>
    <n v="4050"/>
    <s v="JULIO MESQUITA"/>
    <s v="0224"/>
    <n v="371055"/>
    <n v="10781585"/>
    <n v="694.8"/>
    <s v="KM"/>
    <n v="13.69"/>
    <n v="9511.8119999999999"/>
  </r>
  <r>
    <x v="128"/>
    <x v="38"/>
    <x v="5"/>
    <x v="2"/>
    <x v="2"/>
    <x v="0"/>
    <n v="1000238"/>
    <s v="SERV DESP PEDAGIO"/>
    <s v="PEDAGIO FRETE FAZ SANTA THEREZINHA VII PARA SANTA HELENA III"/>
    <n v="4050"/>
    <s v="JULIO MESQUITA"/>
    <s v="0224"/>
    <n v="371055"/>
    <n v="10781585"/>
    <n v="1"/>
    <s v="UA"/>
    <n v="491.4"/>
    <n v="491.4"/>
  </r>
  <r>
    <x v="129"/>
    <x v="38"/>
    <x v="5"/>
    <x v="1"/>
    <x v="2"/>
    <x v="0"/>
    <n v="1000287"/>
    <s v="SERV FRETE CAMINHAO PRANCHA AGRIC"/>
    <s v="FRANQUIA FRETE FAZ SANTA THEREZINHA VII PARA SANTA HELENA III"/>
    <n v="4050"/>
    <s v="JULIO MESQUITA"/>
    <s v="0224"/>
    <n v="371055"/>
    <n v="10781585"/>
    <n v="500"/>
    <s v="KM"/>
    <n v="13.69"/>
    <n v="6845"/>
  </r>
  <r>
    <x v="130"/>
    <x v="39"/>
    <x v="5"/>
    <x v="0"/>
    <x v="4"/>
    <x v="0"/>
    <n v="1000287"/>
    <s v="SERV FRETE CAMINHAO PRANCHA AGRIC"/>
    <s v="FRETE FAZ LAGOA RICA PARA BOA VISTA II"/>
    <n v="4067"/>
    <s v="PRATANIA"/>
    <s v="0098"/>
    <n v="371065"/>
    <n v="10781585"/>
    <n v="568.70000000000005"/>
    <s v="KM"/>
    <n v="13.69"/>
    <n v="7785.5030000000006"/>
  </r>
  <r>
    <x v="131"/>
    <x v="39"/>
    <x v="5"/>
    <x v="2"/>
    <x v="4"/>
    <x v="0"/>
    <n v="1000238"/>
    <s v="SERV DESP PEDAGIO"/>
    <s v="PEDAGIO FRETE FAZ LAGOA RICA PARA BOA VISTA II"/>
    <n v="4067"/>
    <s v="PRATANIA"/>
    <s v="0098"/>
    <n v="371065"/>
    <n v="10781585"/>
    <n v="1"/>
    <s v="UA"/>
    <n v="464.1"/>
    <n v="464.1"/>
  </r>
  <r>
    <x v="132"/>
    <x v="39"/>
    <x v="5"/>
    <x v="1"/>
    <x v="4"/>
    <x v="0"/>
    <n v="1000287"/>
    <s v="SERV FRETE CAMINHAO PRANCHA AGRIC"/>
    <s v="FRANQUIA FRETE FAZ LAGOA RICA PARA BOA VISTA II"/>
    <n v="4067"/>
    <s v="PRATANIA"/>
    <s v="0098"/>
    <n v="371065"/>
    <n v="10781585"/>
    <n v="500"/>
    <s v="KM"/>
    <n v="13.69"/>
    <n v="6845"/>
  </r>
  <r>
    <x v="133"/>
    <x v="39"/>
    <x v="5"/>
    <x v="0"/>
    <x v="2"/>
    <x v="0"/>
    <n v="1000287"/>
    <s v="SERV FRETE CAMINHAO PRANCHA AGRIC"/>
    <s v="FRETE FAZ PINDORAMA II PARA OFICINA GUTIERRES"/>
    <n v="4039"/>
    <s v="IACANGA"/>
    <s v="2410"/>
    <n v="371075"/>
    <n v="10781585"/>
    <n v="173"/>
    <s v="KM"/>
    <n v="13.69"/>
    <n v="2368.37"/>
  </r>
  <r>
    <x v="134"/>
    <x v="39"/>
    <x v="5"/>
    <x v="2"/>
    <x v="2"/>
    <x v="0"/>
    <n v="1000238"/>
    <s v="SERV DESP PEDAGIO"/>
    <s v="PEDAGIO FRETE FAZ PINDORAMA II PARA OFICINA GUTIERRES"/>
    <n v="4039"/>
    <s v="IACANGA"/>
    <s v="2410"/>
    <n v="371075"/>
    <n v="10781585"/>
    <n v="1"/>
    <s v="UA"/>
    <n v="76"/>
    <n v="76"/>
  </r>
  <r>
    <x v="135"/>
    <x v="39"/>
    <x v="5"/>
    <x v="0"/>
    <x v="2"/>
    <x v="0"/>
    <n v="1000287"/>
    <s v="SERV FRETE CAMINHAO PRANCHA AGRIC"/>
    <s v="FRETE PIRAJUI PARA JULIO MESQUITA TRANSB PRANCHA"/>
    <n v="4050"/>
    <s v="JULIO MESQUITA"/>
    <s v="0224"/>
    <n v="371075"/>
    <n v="10781585"/>
    <n v="238"/>
    <s v="KM"/>
    <n v="13.69"/>
    <n v="3258.22"/>
  </r>
  <r>
    <x v="136"/>
    <x v="39"/>
    <x v="5"/>
    <x v="2"/>
    <x v="2"/>
    <x v="0"/>
    <n v="1000238"/>
    <s v="SERV DESP PEDAGIO"/>
    <s v="PEDAGIO FRETE PIRAJUI PARA JULIO MESQUITA TRANSB PRANCHA"/>
    <n v="4050"/>
    <s v="JULIO MESQUITA"/>
    <s v="0224"/>
    <n v="371075"/>
    <n v="10781585"/>
    <n v="1"/>
    <s v="UA"/>
    <n v="181.2"/>
    <n v="181.2"/>
  </r>
  <r>
    <x v="137"/>
    <x v="41"/>
    <x v="5"/>
    <x v="0"/>
    <x v="3"/>
    <x v="0"/>
    <n v="1000287"/>
    <s v="SERV FRETE CAMINHAO PRANCHA AGRIC"/>
    <s v="FRETE SANTA HELENA X  PARA CARRETAO I"/>
    <n v="4071"/>
    <s v="SANTA CRUZ DO RIO PARDO"/>
    <s v="0236"/>
    <n v="371055"/>
    <n v="10783519"/>
    <n v="751.3"/>
    <s v="KM"/>
    <n v="13.69"/>
    <n v="10285.296999999999"/>
  </r>
  <r>
    <x v="138"/>
    <x v="41"/>
    <x v="5"/>
    <x v="2"/>
    <x v="3"/>
    <x v="0"/>
    <n v="1000238"/>
    <s v="SERV DESP PEDAGIO"/>
    <s v="PEDAGIO FRETE SANTA HELENA X  PARA CARRETAO I"/>
    <n v="4071"/>
    <s v="SANTA CRUZ DO RIO PARDO"/>
    <s v="0236"/>
    <n v="371055"/>
    <n v="10783519"/>
    <n v="1"/>
    <s v="UA"/>
    <n v="589.77"/>
    <n v="589.77"/>
  </r>
  <r>
    <x v="139"/>
    <x v="42"/>
    <x v="5"/>
    <x v="0"/>
    <x v="3"/>
    <x v="0"/>
    <n v="1000287"/>
    <s v="SERV FRETE CAMINHAO PRANCHA AGRIC"/>
    <s v="FRETE CARRETAO I  PARA OFICINA LENCOIS"/>
    <n v="4071"/>
    <s v="SANTA CRUZ DO RIO PARDO"/>
    <s v="0236"/>
    <n v="371055"/>
    <n v="10783519"/>
    <n v="227"/>
    <s v="KM"/>
    <n v="13.69"/>
    <n v="3107.63"/>
  </r>
  <r>
    <x v="140"/>
    <x v="42"/>
    <x v="5"/>
    <x v="2"/>
    <x v="3"/>
    <x v="0"/>
    <n v="1000238"/>
    <s v="SERV DESP PEDAGIO"/>
    <s v="PEDAGIO FRETE CARRETAO I  PARA OFICINA LENCOIS"/>
    <n v="4071"/>
    <s v="SANTA CRUZ DO RIO PARDO"/>
    <s v="0236"/>
    <n v="371055"/>
    <n v="10783519"/>
    <n v="1"/>
    <s v="UA"/>
    <n v="202.8"/>
    <n v="202.8"/>
  </r>
  <r>
    <x v="141"/>
    <x v="42"/>
    <x v="5"/>
    <x v="0"/>
    <x v="3"/>
    <x v="0"/>
    <n v="1000287"/>
    <s v="SERV FRETE CAMINHAO PRANCHA AGRIC"/>
    <s v="FRETE CARRETAO I  PARA SANTA HELENA"/>
    <n v="4050"/>
    <s v="JULIO MESQUITA"/>
    <s v="0224"/>
    <n v="371055"/>
    <n v="10783519"/>
    <n v="365.3"/>
    <s v="KM"/>
    <n v="13.69"/>
    <n v="5000.9570000000003"/>
  </r>
  <r>
    <x v="142"/>
    <x v="42"/>
    <x v="5"/>
    <x v="2"/>
    <x v="3"/>
    <x v="0"/>
    <n v="1000238"/>
    <s v="SERV DESP PEDAGIO"/>
    <s v="PEDAGIO FRETE CARRETAO I  PARA SANTA HELENA"/>
    <n v="4050"/>
    <s v="JULIO MESQUITA"/>
    <s v="0224"/>
    <n v="371055"/>
    <n v="10783519"/>
    <n v="1"/>
    <s v="UA"/>
    <n v="221.9"/>
    <n v="221.9"/>
  </r>
  <r>
    <x v="143"/>
    <x v="42"/>
    <x v="5"/>
    <x v="1"/>
    <x v="3"/>
    <x v="0"/>
    <n v="1000287"/>
    <s v="SERV FRETE CAMINHAO PRANCHA AGRIC"/>
    <s v="FRANQUIA FRETE CARRETAO I  PARA SANTA HELENA"/>
    <n v="4050"/>
    <s v="JULIO MESQUITA"/>
    <s v="0224"/>
    <n v="371055"/>
    <n v="10783519"/>
    <n v="250"/>
    <s v="KM"/>
    <n v="13.69"/>
    <n v="3422.5"/>
  </r>
  <r>
    <x v="144"/>
    <x v="43"/>
    <x v="5"/>
    <x v="0"/>
    <x v="5"/>
    <x v="0"/>
    <n v="1000287"/>
    <s v="SERV FRETE CAMINHAO PRANCHA AGRIC"/>
    <s v="FRETE JATOBA II PARA FORQUILHA II"/>
    <n v="4002"/>
    <s v="AGUDOS"/>
    <s v="0090"/>
    <n v="371045"/>
    <n v="10783519"/>
    <n v="493"/>
    <s v="KM"/>
    <n v="13.69"/>
    <n v="6749.17"/>
  </r>
  <r>
    <x v="145"/>
    <x v="43"/>
    <x v="5"/>
    <x v="2"/>
    <x v="5"/>
    <x v="0"/>
    <n v="1000238"/>
    <s v="SERV DESP PEDAGIO"/>
    <s v="PEDAGIO FRETE JATOBA II PARA FORQUILHA II"/>
    <n v="4002"/>
    <s v="AGUDOS"/>
    <s v="0090"/>
    <n v="371045"/>
    <n v="10783519"/>
    <n v="1"/>
    <s v="UA"/>
    <n v="302.39999999999998"/>
    <n v="302.39999999999998"/>
  </r>
  <r>
    <x v="146"/>
    <x v="44"/>
    <x v="5"/>
    <x v="0"/>
    <x v="3"/>
    <x v="0"/>
    <n v="1000287"/>
    <s v="SERV FRETE CAMINHAO PRANCHA AGRIC"/>
    <s v="FRETE DIVISAO FLORESTAL PARA PORTO BELO"/>
    <n v="4031"/>
    <s v="ESPIRITO SANTO DO TURVO"/>
    <s v="0233"/>
    <n v="371055"/>
    <n v="10783519"/>
    <n v="249.1"/>
    <s v="KM"/>
    <n v="13.69"/>
    <n v="3410.1789999999996"/>
  </r>
  <r>
    <x v="147"/>
    <x v="44"/>
    <x v="5"/>
    <x v="2"/>
    <x v="3"/>
    <x v="0"/>
    <n v="1000238"/>
    <s v="SERV DESP PEDAGIO"/>
    <s v="PEDAGIO FRETE DIVISAO FLORESTAL PARA PORTO BELO"/>
    <n v="4031"/>
    <s v="ESPIRITO SANTO DO TURVO"/>
    <s v="0233"/>
    <n v="371055"/>
    <n v="10783519"/>
    <n v="1"/>
    <s v="UA"/>
    <n v="101.4"/>
    <n v="101.4"/>
  </r>
  <r>
    <x v="148"/>
    <x v="44"/>
    <x v="5"/>
    <x v="0"/>
    <x v="2"/>
    <x v="0"/>
    <n v="1000287"/>
    <s v="SERV FRETE CAMINHAO PRANCHA AGRIC"/>
    <s v="FRETE ESTIVA PARA SANTA MARIA III"/>
    <n v="4063"/>
    <s v="PIRAJUI"/>
    <s v="0219"/>
    <n v="371075"/>
    <n v="10783519"/>
    <n v="377.8"/>
    <s v="KM"/>
    <n v="13.69"/>
    <n v="5172.0820000000003"/>
  </r>
  <r>
    <x v="149"/>
    <x v="44"/>
    <x v="5"/>
    <x v="2"/>
    <x v="2"/>
    <x v="0"/>
    <n v="1000238"/>
    <s v="SERV DESP PEDAGIO"/>
    <s v="PEDAGIO FRETE ESTIVA PARA SANTA MARIA III"/>
    <n v="4063"/>
    <s v="PIRAJUI"/>
    <s v="0219"/>
    <n v="371075"/>
    <n v="10783519"/>
    <n v="1"/>
    <s v="UA"/>
    <n v="109.2"/>
    <n v="109.2"/>
  </r>
  <r>
    <x v="150"/>
    <x v="45"/>
    <x v="5"/>
    <x v="0"/>
    <x v="5"/>
    <x v="0"/>
    <n v="1000287"/>
    <s v="SERV FRETE CAMINHAO PRANCHA AGRIC"/>
    <s v="FRETE FORQUILHA II PARA SÃO JOAO V"/>
    <n v="4068"/>
    <s v="PRESIDENTE ALVES"/>
    <s v="0227"/>
    <n v="371045"/>
    <n v="10783519"/>
    <n v="257.89999999999998"/>
    <s v="KM"/>
    <n v="13.69"/>
    <n v="3530.6509999999994"/>
  </r>
  <r>
    <x v="151"/>
    <x v="45"/>
    <x v="5"/>
    <x v="2"/>
    <x v="5"/>
    <x v="0"/>
    <n v="1000238"/>
    <s v="SERV DESP PEDAGIO"/>
    <s v="PEDAGIO FRETE FORQUILHA II PARA SÃO JOAO V"/>
    <n v="4068"/>
    <s v="PRESIDENTE ALVES"/>
    <s v="0227"/>
    <n v="371045"/>
    <n v="10783519"/>
    <n v="1"/>
    <s v="UA"/>
    <n v="184.8"/>
    <n v="184.8"/>
  </r>
  <r>
    <x v="152"/>
    <x v="45"/>
    <x v="5"/>
    <x v="1"/>
    <x v="5"/>
    <x v="0"/>
    <n v="1000287"/>
    <s v="SERV FRETE CAMINHAO PRANCHA AGRIC"/>
    <s v="FRANQUIA FRETE FORQUILHA II PARA SÃO JOAO V"/>
    <n v="4068"/>
    <s v="PRESIDENTE ALVES"/>
    <s v="0227"/>
    <n v="371045"/>
    <n v="10783519"/>
    <n v="250"/>
    <s v="KM"/>
    <n v="13.69"/>
    <n v="3422.5"/>
  </r>
  <r>
    <x v="153"/>
    <x v="46"/>
    <x v="5"/>
    <x v="0"/>
    <x v="5"/>
    <x v="0"/>
    <n v="1000287"/>
    <s v="SERV FRETE CAMINHAO PRANCHA AGRIC"/>
    <s v="FRETE FORQUILHA II PARA SÃO JOAO V"/>
    <n v="4068"/>
    <s v="PRESIDENTE ALVES"/>
    <s v="0227"/>
    <n v="371045"/>
    <n v="10783519"/>
    <n v="251.5"/>
    <s v="KM"/>
    <n v="13.69"/>
    <n v="3443.0349999999999"/>
  </r>
  <r>
    <x v="154"/>
    <x v="46"/>
    <x v="5"/>
    <x v="2"/>
    <x v="5"/>
    <x v="0"/>
    <n v="1000238"/>
    <s v="SERV DESP PEDAGIO"/>
    <s v="PEDAGIO FRETE FORQUILHA II PARA SÃO JOAO V"/>
    <n v="4068"/>
    <s v="PRESIDENTE ALVES"/>
    <s v="0227"/>
    <n v="371045"/>
    <n v="10783519"/>
    <n v="1"/>
    <s v="UA"/>
    <n v="184.8"/>
    <n v="184.8"/>
  </r>
  <r>
    <x v="155"/>
    <x v="47"/>
    <x v="5"/>
    <x v="0"/>
    <x v="2"/>
    <x v="1"/>
    <n v="1000287"/>
    <s v="SERV FRETE CAMINHAO PRANCHA AGRIC"/>
    <s v="FRETE OFICINA TERRA VERDE PARA PINDORAMA II GLEBA B"/>
    <n v="4039"/>
    <s v="IACANGA"/>
    <s v="2410"/>
    <n v="371075"/>
    <n v="10787837"/>
    <n v="250"/>
    <s v="KM"/>
    <n v="12.28"/>
    <n v="3070"/>
  </r>
  <r>
    <x v="156"/>
    <x v="47"/>
    <x v="5"/>
    <x v="2"/>
    <x v="2"/>
    <x v="1"/>
    <n v="1000238"/>
    <s v="SERV DESP PEDAGIO"/>
    <s v="PEDAGIO FRETE OFICINA TERRA VERDE PARA PINDORAMA II GLEBA B"/>
    <n v="4039"/>
    <s v="LENCOIS PAULISTA"/>
    <n v="7901"/>
    <n v="371075"/>
    <n v="10787837"/>
    <n v="1"/>
    <s v="UA"/>
    <n v="98.8"/>
    <n v="98.8"/>
  </r>
  <r>
    <x v="157"/>
    <x v="41"/>
    <x v="5"/>
    <x v="0"/>
    <x v="2"/>
    <x v="1"/>
    <n v="1000287"/>
    <s v="SERV FRETE CAMINHAO PRANCHA AGRIC"/>
    <s v="FRETE SANTA HELENA III VERDE PARA PINDORAMA II GLEBA B"/>
    <n v="4039"/>
    <s v="IACANGA"/>
    <s v="2410"/>
    <n v="371075"/>
    <n v="10787837"/>
    <n v="356"/>
    <s v="KM"/>
    <n v="12.28"/>
    <n v="4371.6799999999994"/>
  </r>
  <r>
    <x v="158"/>
    <x v="41"/>
    <x v="5"/>
    <x v="2"/>
    <x v="2"/>
    <x v="1"/>
    <n v="1000238"/>
    <s v="SERV DESP PEDAGIO"/>
    <s v="PEDAGIO FRETE SANTA HELENA III VERDE PARA PINDORAMA II GLEBA B"/>
    <n v="4039"/>
    <s v="LENCOIS PAULISTA"/>
    <n v="7901"/>
    <n v="371075"/>
    <n v="10787837"/>
    <n v="1"/>
    <s v="UA"/>
    <n v="225.6"/>
    <n v="225.6"/>
  </r>
  <r>
    <x v="159"/>
    <x v="48"/>
    <x v="5"/>
    <x v="0"/>
    <x v="5"/>
    <x v="1"/>
    <n v="1000287"/>
    <s v="SERV FRETE CAMINHAO PRANCHA AGRIC"/>
    <s v="FRETE BOA VISTA II VERDE PARA JATOBA"/>
    <n v="4067"/>
    <s v="PRATANIA"/>
    <s v="0105"/>
    <n v="371045"/>
    <n v="10787837"/>
    <n v="125"/>
    <s v="KM"/>
    <n v="12.28"/>
    <n v="1535"/>
  </r>
  <r>
    <x v="160"/>
    <x v="48"/>
    <x v="5"/>
    <x v="0"/>
    <x v="5"/>
    <x v="1"/>
    <n v="1000287"/>
    <s v="SERV FRETE CAMINHAO PRANCHA AGRIC"/>
    <s v="FRETE MACEDONIA PARA BOA VISTA II"/>
    <n v="4067"/>
    <s v="PRATANIA"/>
    <s v="0098"/>
    <n v="371045"/>
    <n v="10787837"/>
    <n v="125"/>
    <s v="KM"/>
    <n v="12.28"/>
    <n v="1535"/>
  </r>
  <r>
    <x v="161"/>
    <x v="43"/>
    <x v="5"/>
    <x v="0"/>
    <x v="4"/>
    <x v="1"/>
    <n v="1000287"/>
    <s v="SERV FRETE CAMINHAO PRANCHA AGRIC"/>
    <s v="FRETE BOA VISTA II PARA UNESP"/>
    <n v="4067"/>
    <s v="PRATANIA"/>
    <s v="0098"/>
    <n v="371065"/>
    <n v="10787837"/>
    <n v="125"/>
    <s v="KM"/>
    <n v="12.28"/>
    <n v="1535"/>
  </r>
  <r>
    <x v="162"/>
    <x v="43"/>
    <x v="5"/>
    <x v="0"/>
    <x v="4"/>
    <x v="1"/>
    <n v="1000287"/>
    <s v="SERV FRETE CAMINHAO PRANCHA AGRIC"/>
    <s v="FRETE UNESP PARA BOA VISTA II"/>
    <n v="4067"/>
    <s v="PRATANIA"/>
    <s v="0098"/>
    <n v="371065"/>
    <n v="10787837"/>
    <n v="125"/>
    <s v="KM"/>
    <n v="12.28"/>
    <n v="1535"/>
  </r>
  <r>
    <x v="163"/>
    <x v="49"/>
    <x v="5"/>
    <x v="0"/>
    <x v="2"/>
    <x v="1"/>
    <n v="1000287"/>
    <s v="SERV FRETE CAMINHAO PRANCHA AGRIC"/>
    <s v="FRETE PINDORAMA II GLEBA B PARA SANTA HELENA III"/>
    <n v="4050"/>
    <s v="JULIO MESQUITA"/>
    <s v="0224"/>
    <n v="371075"/>
    <n v="10787837"/>
    <n v="357"/>
    <s v="KM"/>
    <n v="12.28"/>
    <n v="4383.96"/>
  </r>
  <r>
    <x v="164"/>
    <x v="49"/>
    <x v="5"/>
    <x v="2"/>
    <x v="2"/>
    <x v="1"/>
    <n v="1000238"/>
    <s v="SERV DESP PEDAGIO"/>
    <s v="PEDAGIO FRETE PINDORAMA II GLEBA B PARA SANTA HELENA III"/>
    <n v="4050"/>
    <s v="LENCOIS PAULISTA"/>
    <n v="7901"/>
    <n v="371075"/>
    <n v="10787837"/>
    <n v="1"/>
    <s v="UA"/>
    <n v="225.6"/>
    <n v="225.6"/>
  </r>
  <r>
    <x v="165"/>
    <x v="45"/>
    <x v="5"/>
    <x v="0"/>
    <x v="4"/>
    <x v="1"/>
    <n v="1000287"/>
    <s v="SERV FRETE CAMINHAO PRANCHA AGRIC"/>
    <s v="FRETE MACEDONIA PARA FORQUILHA II"/>
    <n v="4002"/>
    <s v="AGUDOS"/>
    <s v="0090"/>
    <n v="371065"/>
    <n v="10787837"/>
    <n v="274"/>
    <s v="KM"/>
    <n v="12.28"/>
    <n v="3364.72"/>
  </r>
  <r>
    <x v="166"/>
    <x v="45"/>
    <x v="5"/>
    <x v="2"/>
    <x v="4"/>
    <x v="1"/>
    <n v="1000238"/>
    <s v="SERV DESP PEDAGIO"/>
    <s v="PEDAGIO FRETE MACEDONIA PARA FORQUILHA II"/>
    <n v="4002"/>
    <s v="LENCOIS PAULISTA"/>
    <n v="7901"/>
    <n v="371065"/>
    <n v="10787837"/>
    <n v="1"/>
    <s v="UA"/>
    <n v="160.80000000000001"/>
    <n v="160.80000000000001"/>
  </r>
  <r>
    <x v="167"/>
    <x v="45"/>
    <x v="5"/>
    <x v="0"/>
    <x v="4"/>
    <x v="1"/>
    <n v="1000287"/>
    <s v="SERV FRETE CAMINHAO PRANCHA AGRIC"/>
    <s v="FRETE MACEDONIA PARA FORQUILHA II"/>
    <n v="4002"/>
    <s v="AGUDOS"/>
    <s v="0090"/>
    <n v="371065"/>
    <n v="10787837"/>
    <n v="270"/>
    <s v="KM"/>
    <n v="12.28"/>
    <n v="3315.6"/>
  </r>
  <r>
    <x v="168"/>
    <x v="45"/>
    <x v="5"/>
    <x v="2"/>
    <x v="4"/>
    <x v="1"/>
    <n v="1000238"/>
    <s v="SERV DESP PEDAGIO"/>
    <s v="PEDAGIO FRETE MACEDONIA PARA FORQUILHA II"/>
    <n v="4002"/>
    <s v="LENCOIS PAULISTA"/>
    <n v="7901"/>
    <n v="371065"/>
    <n v="10787837"/>
    <n v="1"/>
    <s v="UA"/>
    <n v="119.1"/>
    <n v="119.1"/>
  </r>
  <r>
    <x v="169"/>
    <x v="45"/>
    <x v="5"/>
    <x v="0"/>
    <x v="4"/>
    <x v="1"/>
    <n v="1000287"/>
    <s v="SERV FRETE CAMINHAO PRANCHA AGRIC"/>
    <s v="FRETE MACEDONIA PARA FORQUILHA II"/>
    <n v="4002"/>
    <s v="AGUDOS"/>
    <s v="0090"/>
    <n v="371065"/>
    <n v="10787837"/>
    <n v="326"/>
    <s v="KM"/>
    <n v="12.28"/>
    <n v="4003.2799999999997"/>
  </r>
  <r>
    <x v="170"/>
    <x v="45"/>
    <x v="5"/>
    <x v="2"/>
    <x v="4"/>
    <x v="1"/>
    <n v="1000238"/>
    <s v="SERV DESP PEDAGIO"/>
    <s v="PEDAGIO FRETE MACEDONIA PARA FORQUILHA II"/>
    <n v="4002"/>
    <s v="LENCOIS PAULISTA"/>
    <n v="7901"/>
    <n v="371065"/>
    <n v="10787837"/>
    <n v="1"/>
    <s v="UA"/>
    <n v="160.80000000000001"/>
    <n v="160.80000000000001"/>
  </r>
  <r>
    <x v="171"/>
    <x v="50"/>
    <x v="5"/>
    <x v="0"/>
    <x v="4"/>
    <x v="1"/>
    <n v="1000287"/>
    <s v="SERV FRETE CAMINHAO PRANCHA AGRIC"/>
    <s v="FRETE BOA VISTA II PARA MACEDONIA"/>
    <n v="4048"/>
    <s v="ITATINGA"/>
    <s v="0478"/>
    <n v="371065"/>
    <n v="10787837"/>
    <n v="250"/>
    <s v="KM"/>
    <n v="12.28"/>
    <n v="3070"/>
  </r>
  <r>
    <x v="172"/>
    <x v="50"/>
    <x v="5"/>
    <x v="2"/>
    <x v="4"/>
    <x v="1"/>
    <n v="1000238"/>
    <s v="SERV DESP PEDAGIO"/>
    <s v="PEDAGIO FRETE BOA VISTA II PARA MACEDONIA"/>
    <n v="4048"/>
    <s v="LENCOIS PAULISTA"/>
    <n v="7901"/>
    <n v="371065"/>
    <n v="10787837"/>
    <n v="1"/>
    <s v="UA"/>
    <n v="125.86"/>
    <n v="125.86"/>
  </r>
  <r>
    <x v="173"/>
    <x v="50"/>
    <x v="5"/>
    <x v="0"/>
    <x v="4"/>
    <x v="1"/>
    <n v="1000287"/>
    <s v="SERV FRETE CAMINHAO PRANCHA AGRIC"/>
    <s v="FRETE BOA VISTA II PARA MACEDONIA"/>
    <n v="4048"/>
    <s v="ITATINGA"/>
    <s v="0478"/>
    <n v="371065"/>
    <n v="10787837"/>
    <n v="250"/>
    <s v="KM"/>
    <n v="12.28"/>
    <n v="3070"/>
  </r>
  <r>
    <x v="174"/>
    <x v="50"/>
    <x v="5"/>
    <x v="2"/>
    <x v="4"/>
    <x v="1"/>
    <n v="1000238"/>
    <s v="SERV DESP PEDAGIO"/>
    <s v="PEDAGIO FRETE BOA VISTA II PARA MACEDONIA"/>
    <n v="4048"/>
    <s v="LENCOIS PAULISTA"/>
    <n v="7901"/>
    <n v="371065"/>
    <n v="10787837"/>
    <n v="1"/>
    <s v="UA"/>
    <n v="98.4"/>
    <n v="98.4"/>
  </r>
  <r>
    <x v="175"/>
    <x v="50"/>
    <x v="5"/>
    <x v="0"/>
    <x v="4"/>
    <x v="1"/>
    <n v="1000287"/>
    <s v="SERV FRETE CAMINHAO PRANCHA AGRIC"/>
    <s v="FRETE BOA VISTA II PARA MACEDONIA"/>
    <n v="4048"/>
    <s v="ITATINGA"/>
    <s v="0478"/>
    <n v="371065"/>
    <n v="10787837"/>
    <n v="125"/>
    <s v="KM"/>
    <n v="12.28"/>
    <n v="1535"/>
  </r>
  <r>
    <x v="176"/>
    <x v="50"/>
    <x v="5"/>
    <x v="2"/>
    <x v="4"/>
    <x v="1"/>
    <n v="1000238"/>
    <s v="SERV DESP PEDAGIO"/>
    <s v="PEDAGIO FRETE BOA VISTA II PARA MACEDONIA"/>
    <n v="4048"/>
    <s v="LENCOIS PAULISTA"/>
    <n v="7901"/>
    <n v="371065"/>
    <n v="10787837"/>
    <n v="1"/>
    <s v="UA"/>
    <n v="78.459999999999994"/>
    <n v="78.459999999999994"/>
  </r>
  <r>
    <x v="177"/>
    <x v="50"/>
    <x v="5"/>
    <x v="0"/>
    <x v="4"/>
    <x v="1"/>
    <n v="1000287"/>
    <s v="SERV FRETE CAMINHAO PRANCHA AGRIC"/>
    <s v="FRETE BOA VISTA II PARA MACEDONIA"/>
    <n v="4048"/>
    <s v="ITATINGA"/>
    <s v="0478"/>
    <n v="371065"/>
    <n v="10787837"/>
    <n v="125"/>
    <s v="KM"/>
    <n v="12.28"/>
    <n v="1535"/>
  </r>
  <r>
    <x v="178"/>
    <x v="50"/>
    <x v="5"/>
    <x v="2"/>
    <x v="4"/>
    <x v="1"/>
    <n v="1000238"/>
    <s v="SERV DESP PEDAGIO"/>
    <s v="PEDAGIO FRETE BOA VISTA II PARA MACEDONIA"/>
    <n v="4048"/>
    <s v="LENCOIS PAULISTA"/>
    <n v="7901"/>
    <n v="371065"/>
    <n v="10787837"/>
    <n v="1"/>
    <s v="UA"/>
    <n v="125.86"/>
    <n v="125.86"/>
  </r>
  <r>
    <x v="179"/>
    <x v="50"/>
    <x v="5"/>
    <x v="0"/>
    <x v="4"/>
    <x v="1"/>
    <n v="1000287"/>
    <s v="SERV FRETE CAMINHAO PRANCHA AGRIC"/>
    <s v="FRETE IPE II PARA FORQUILHA II"/>
    <n v="4002"/>
    <s v="AGUDOS"/>
    <s v="0090"/>
    <n v="371065"/>
    <n v="10787837"/>
    <n v="125"/>
    <s v="KM"/>
    <n v="12.28"/>
    <n v="1535"/>
  </r>
  <r>
    <x v="180"/>
    <x v="50"/>
    <x v="5"/>
    <x v="0"/>
    <x v="4"/>
    <x v="1"/>
    <n v="1000287"/>
    <s v="SERV FRETE CAMINHAO PRANCHA AGRIC"/>
    <s v="FRETE FORQUILHA II PARA IPE II"/>
    <n v="4002"/>
    <s v="AGUDOS"/>
    <s v="0271"/>
    <n v="371065"/>
    <n v="10787837"/>
    <n v="125"/>
    <s v="KM"/>
    <n v="12.28"/>
    <n v="1535"/>
  </r>
  <r>
    <x v="181"/>
    <x v="51"/>
    <x v="5"/>
    <x v="0"/>
    <x v="2"/>
    <x v="1"/>
    <n v="1000287"/>
    <s v="SERV FRETE CAMINHAO PRANCHA AGRIC"/>
    <s v="FRETE ESPERANCA PARA OLINDA"/>
    <n v="4043"/>
    <s v="ITAI"/>
    <n v="2035"/>
    <n v="371075"/>
    <n v="10789039"/>
    <n v="454"/>
    <s v="KM"/>
    <n v="12.28"/>
    <n v="5575.12"/>
  </r>
  <r>
    <x v="182"/>
    <x v="52"/>
    <x v="5"/>
    <x v="0"/>
    <x v="5"/>
    <x v="1"/>
    <n v="1000287"/>
    <s v="SERV FRETE CAMINHAO PRANCHA AGRIC"/>
    <s v="FRETE SÃO JOAO V PARA JATOBA II"/>
    <n v="4067"/>
    <s v="PRATANIA"/>
    <s v="0105"/>
    <n v="371045"/>
    <n v="10789039"/>
    <n v="250"/>
    <s v="KM"/>
    <n v="12.28"/>
    <n v="3070"/>
  </r>
  <r>
    <x v="183"/>
    <x v="53"/>
    <x v="5"/>
    <x v="0"/>
    <x v="2"/>
    <x v="1"/>
    <n v="1000287"/>
    <s v="SERV FRETE CAMINHAO PRANCHA AGRIC"/>
    <s v="FRETE SÃO JOAO V PARA CARRETAO"/>
    <n v="4071"/>
    <s v="SANTA CRUZ DO RIO PARDO"/>
    <s v="0236"/>
    <n v="371075"/>
    <n v="10789039"/>
    <n v="391.99999999999994"/>
    <s v="KM"/>
    <n v="12.28"/>
    <n v="4813.7599999999993"/>
  </r>
  <r>
    <x v="184"/>
    <x v="53"/>
    <x v="5"/>
    <x v="0"/>
    <x v="4"/>
    <x v="1"/>
    <n v="1000287"/>
    <s v="SERV FRETE CAMINHAO PRANCHA AGRIC"/>
    <s v="FRETE FORQUILHA I PARA JATOBA II"/>
    <n v="4067"/>
    <s v="PRATANIA"/>
    <s v="0105"/>
    <n v="371065"/>
    <n v="10789039"/>
    <n v="250"/>
    <s v="KM"/>
    <n v="12.28"/>
    <n v="3070"/>
  </r>
  <r>
    <x v="185"/>
    <x v="53"/>
    <x v="5"/>
    <x v="0"/>
    <x v="4"/>
    <x v="1"/>
    <n v="1000287"/>
    <s v="SERV FRETE CAMINHAO PRANCHA AGRIC"/>
    <s v="FRETE FORQUILHA I PARA JATOBA II"/>
    <n v="4067"/>
    <s v="PRATANIA"/>
    <s v="0105"/>
    <n v="371065"/>
    <n v="10789039"/>
    <n v="250"/>
    <s v="KM"/>
    <n v="12.28"/>
    <n v="3070"/>
  </r>
  <r>
    <x v="186"/>
    <x v="51"/>
    <x v="5"/>
    <x v="2"/>
    <x v="2"/>
    <x v="1"/>
    <n v="1000238"/>
    <s v="SERV DESP PEDAGIO"/>
    <s v="PEDAGIO FRETE ESPERANCA PARA OLINDA"/>
    <s v="-"/>
    <s v="LENCOIS PAULISTA"/>
    <n v="7901"/>
    <n v="371075"/>
    <n v="10789039"/>
    <n v="1"/>
    <s v="UA"/>
    <n v="404.19"/>
    <n v="404.19"/>
  </r>
  <r>
    <x v="187"/>
    <x v="52"/>
    <x v="5"/>
    <x v="2"/>
    <x v="5"/>
    <x v="1"/>
    <n v="1000238"/>
    <s v="SERV DESP PEDAGIO"/>
    <s v="PEDAGIO FRETE SÃO JOAO V PARA JATOBA II"/>
    <s v="-"/>
    <s v="LENCOIS PAULISTA"/>
    <n v="7901"/>
    <n v="371045"/>
    <n v="10789039"/>
    <n v="1"/>
    <s v="UA"/>
    <n v="192.4"/>
    <n v="192.4"/>
  </r>
  <r>
    <x v="188"/>
    <x v="53"/>
    <x v="5"/>
    <x v="2"/>
    <x v="2"/>
    <x v="1"/>
    <n v="1000238"/>
    <s v="SERV DESP PEDAGIO"/>
    <s v="PEDAGIO FRETE SÃO JOAO V PARA CARRETAO"/>
    <s v="-"/>
    <s v="LENCOIS PAULISTA"/>
    <n v="7901"/>
    <n v="371075"/>
    <n v="10789039"/>
    <n v="1"/>
    <s v="UA"/>
    <n v="353.1"/>
    <n v="353.1"/>
  </r>
  <r>
    <x v="189"/>
    <x v="53"/>
    <x v="5"/>
    <x v="2"/>
    <x v="4"/>
    <x v="1"/>
    <n v="1000238"/>
    <s v="SERV DESP PEDAGIO"/>
    <s v="PEDAGIO FRETE FORQUILHA I PARA JATOBA II"/>
    <s v="-"/>
    <s v="LENCOIS PAULISTA"/>
    <n v="7901"/>
    <n v="371065"/>
    <n v="10789039"/>
    <n v="1"/>
    <s v="UA"/>
    <n v="47.4"/>
    <n v="47.4"/>
  </r>
  <r>
    <x v="190"/>
    <x v="53"/>
    <x v="5"/>
    <x v="2"/>
    <x v="4"/>
    <x v="1"/>
    <n v="1000238"/>
    <s v="SERV DESP PEDAGIO"/>
    <s v="PEDAGIO FRETE FORQUILHA I PARA JATOBA II"/>
    <s v="-"/>
    <s v="LENCOIS PAULISTA"/>
    <n v="7901"/>
    <n v="371065"/>
    <n v="10789039"/>
    <n v="1"/>
    <s v="UA"/>
    <n v="47.4"/>
    <n v="47.4"/>
  </r>
  <r>
    <x v="191"/>
    <x v="50"/>
    <x v="5"/>
    <x v="0"/>
    <x v="8"/>
    <x v="0"/>
    <n v="1000287"/>
    <s v="SERV FRETE CAMINHAO PRANCHA AGRIC"/>
    <s v="FRETE SANTA MARIA III PARA OFICINA MAQNOVA"/>
    <n v="4063"/>
    <s v="PIRAJUI"/>
    <s v="0219"/>
    <n v="375030"/>
    <n v="10787851"/>
    <n v="217.6"/>
    <s v="KM"/>
    <n v="13.69"/>
    <n v="2978.944"/>
  </r>
  <r>
    <x v="192"/>
    <x v="54"/>
    <x v="5"/>
    <x v="0"/>
    <x v="2"/>
    <x v="0"/>
    <n v="1000287"/>
    <s v="SERV FRETE CAMINHAO PRANCHA AGRIC"/>
    <s v="FRETE SANTA HELENA PARA SAO JOAO V"/>
    <n v="4068"/>
    <s v="PRESIDENTE ALVES"/>
    <s v="0227"/>
    <n v="371075"/>
    <n v="10787851"/>
    <n v="242.6"/>
    <s v="KM"/>
    <n v="13.69"/>
    <n v="3321.194"/>
  </r>
  <r>
    <x v="193"/>
    <x v="54"/>
    <x v="5"/>
    <x v="0"/>
    <x v="3"/>
    <x v="0"/>
    <n v="1000287"/>
    <s v="SERV FRETE CAMINHAO PRANCHA AGRIC"/>
    <s v="FRETE OFICINA LENCOIS PARA DIVISAO E CARRETAO"/>
    <n v="4071"/>
    <s v="SANTA CRUZ DO RIO PARDO"/>
    <s v="0236"/>
    <n v="371055"/>
    <n v="10787851"/>
    <n v="285.5"/>
    <s v="KM"/>
    <n v="13.69"/>
    <n v="3908.4949999999999"/>
  </r>
  <r>
    <x v="193"/>
    <x v="54"/>
    <x v="5"/>
    <x v="1"/>
    <x v="3"/>
    <x v="0"/>
    <n v="1000287"/>
    <s v="SERV FRETE CAMINHAO PRANCHA AGRIC"/>
    <s v="FRETE OFICINA LENCOIS PARA DIVISAO E CARRETAO"/>
    <n v="4071"/>
    <s v="SANTA CRUZ DO RIO PARDO"/>
    <s v="0236"/>
    <n v="371055"/>
    <n v="10787851"/>
    <n v="250"/>
    <s v="KM"/>
    <n v="13.69"/>
    <n v="3422.5"/>
  </r>
  <r>
    <x v="194"/>
    <x v="53"/>
    <x v="5"/>
    <x v="0"/>
    <x v="3"/>
    <x v="0"/>
    <n v="1000287"/>
    <s v="SERV FRETE CAMINHAO PRANCHA AGRIC"/>
    <s v="FRETE DIVISAO PARA CARRETAO E DIVISAO"/>
    <n v="4071"/>
    <s v="SANTA CRUZ DO RIO PARDO"/>
    <s v="0236"/>
    <n v="371055"/>
    <n v="10787851"/>
    <n v="308.3"/>
    <s v="KM"/>
    <n v="13.69"/>
    <n v="4220.6270000000004"/>
  </r>
  <r>
    <x v="195"/>
    <x v="50"/>
    <x v="5"/>
    <x v="2"/>
    <x v="8"/>
    <x v="0"/>
    <n v="1000238"/>
    <s v="SERV DESP PEDAGIO"/>
    <s v="PEDAGIO FRETE SANTA MARIA III PARA OFICINA MAQNOVA"/>
    <s v="-"/>
    <s v="LENCOIS PAULISTA"/>
    <n v="7901"/>
    <n v="375030"/>
    <n v="10787851"/>
    <n v="1"/>
    <s v="UA"/>
    <n v="215.6"/>
    <n v="215.6"/>
  </r>
  <r>
    <x v="196"/>
    <x v="54"/>
    <x v="5"/>
    <x v="2"/>
    <x v="2"/>
    <x v="0"/>
    <n v="1000238"/>
    <s v="SERV DESP PEDAGIO"/>
    <s v="PEDAGIO FRETE SANTA HELENA PARA SAO JOAO V"/>
    <s v="-"/>
    <s v="LENCOIS PAULISTA"/>
    <n v="7901"/>
    <n v="371075"/>
    <n v="10787851"/>
    <n v="1"/>
    <s v="UA"/>
    <n v="211.4"/>
    <n v="211.4"/>
  </r>
  <r>
    <x v="197"/>
    <x v="54"/>
    <x v="5"/>
    <x v="2"/>
    <x v="3"/>
    <x v="0"/>
    <n v="1000238"/>
    <s v="SERV DESP PEDAGIO"/>
    <s v="PEDAGIO FRETE OFICINA LENCOIS PARA DIVISAO E CARRETAO"/>
    <s v="-"/>
    <s v="LENCOIS PAULISTA"/>
    <n v="7901"/>
    <n v="371055"/>
    <n v="10787851"/>
    <n v="1"/>
    <s v="UA"/>
    <n v="147"/>
    <n v="147"/>
  </r>
  <r>
    <x v="198"/>
    <x v="53"/>
    <x v="5"/>
    <x v="2"/>
    <x v="3"/>
    <x v="0"/>
    <n v="1000238"/>
    <s v="SERV DESP PEDAGIO"/>
    <s v="PEDAGIO FRETE DIVISAO PARA CARRETAO E DIVISAO"/>
    <s v="-"/>
    <s v="LENCOIS PAULISTA"/>
    <n v="7901"/>
    <n v="371055"/>
    <n v="10787851"/>
    <n v="1"/>
    <s v="UA"/>
    <n v="343"/>
    <n v="343"/>
  </r>
  <r>
    <x v="199"/>
    <x v="53"/>
    <x v="5"/>
    <x v="6"/>
    <x v="2"/>
    <x v="4"/>
    <s v="0000000"/>
    <s v="SERVIÇOS APONTADOS NO SGF"/>
    <s v="APONTAMENTOS REALIZADOS NO SGF POR DIÁRIA DE TRUCK"/>
    <s v="0000"/>
    <s v="-"/>
    <s v="0000"/>
    <n v="371075"/>
    <s v="00000000"/>
    <n v="1"/>
    <s v="UA"/>
    <n v="197143.78"/>
    <n v="197143.78"/>
  </r>
  <r>
    <x v="199"/>
    <x v="55"/>
    <x v="6"/>
    <x v="6"/>
    <x v="2"/>
    <x v="4"/>
    <s v="0000000"/>
    <s v="SERVIÇOS APONTADOS NO SGF"/>
    <s v="APONTAMENTOS REALIZADOS NO SGF POR DIÁRIA DE TRUCK"/>
    <s v="0000"/>
    <s v="-"/>
    <s v="0000"/>
    <n v="371075"/>
    <s v="00000000"/>
    <n v="1"/>
    <s v="UA"/>
    <n v="53367.197999999997"/>
    <n v="53367.197999999997"/>
  </r>
  <r>
    <x v="200"/>
    <x v="56"/>
    <x v="6"/>
    <x v="0"/>
    <x v="5"/>
    <x v="1"/>
    <n v="1000287"/>
    <s v="SERV FRETE CAMINHAO PRANCHA AGRIC"/>
    <s v="FRETE JATOBA II PARA SERRINHA"/>
    <n v="4002"/>
    <s v="AGUDOS"/>
    <s v="0270"/>
    <n v="371045"/>
    <n v="10789039"/>
    <n v="250"/>
    <s v="KM"/>
    <n v="12.28"/>
    <n v="3070"/>
  </r>
  <r>
    <x v="201"/>
    <x v="56"/>
    <x v="6"/>
    <x v="0"/>
    <x v="5"/>
    <x v="1"/>
    <n v="1000287"/>
    <s v="SERV FRETE CAMINHAO PRANCHA AGRIC"/>
    <s v="FRETE MACEDONIA PARA FLECHA AZUL"/>
    <n v="4106"/>
    <s v="BOA ESPERANCA DO SUL"/>
    <n v="2081"/>
    <n v="371045"/>
    <n v="10789039"/>
    <n v="373"/>
    <s v="KM"/>
    <n v="12.28"/>
    <n v="4580.4399999999996"/>
  </r>
  <r>
    <x v="202"/>
    <x v="56"/>
    <x v="6"/>
    <x v="2"/>
    <x v="5"/>
    <x v="1"/>
    <n v="1000238"/>
    <s v="SERV DESP PEDAGIO"/>
    <s v="PEDAGIO FRETE JATOBA II PARA SERRINHA"/>
    <s v="-"/>
    <s v="LENCOIS PAULISTA"/>
    <n v="7901"/>
    <n v="371045"/>
    <n v="10789039"/>
    <n v="1"/>
    <s v="UA"/>
    <n v="47.4"/>
    <n v="47.4"/>
  </r>
  <r>
    <x v="203"/>
    <x v="56"/>
    <x v="6"/>
    <x v="2"/>
    <x v="5"/>
    <x v="1"/>
    <n v="1000238"/>
    <s v="SERV DESP PEDAGIO"/>
    <s v="PEDAGIO FRETE MACEDONIA PARA FLECHA AZUL"/>
    <s v="-"/>
    <s v="LENCOIS PAULISTA"/>
    <n v="7901"/>
    <n v="371045"/>
    <n v="10789039"/>
    <n v="1"/>
    <s v="UA"/>
    <n v="358.59"/>
    <n v="358.59"/>
  </r>
  <r>
    <x v="204"/>
    <x v="57"/>
    <x v="6"/>
    <x v="0"/>
    <x v="4"/>
    <x v="1"/>
    <n v="1000287"/>
    <s v="SERV FRETE CAMINHAO PRANCHA AGRIC"/>
    <s v="FRETE JATOBA II PARA SERRINHA"/>
    <n v="4002"/>
    <s v="AGUDOS"/>
    <s v="0270"/>
    <n v="371065"/>
    <n v="10789039"/>
    <n v="250"/>
    <s v="KM"/>
    <n v="12.28"/>
    <n v="3070"/>
  </r>
  <r>
    <x v="205"/>
    <x v="57"/>
    <x v="6"/>
    <x v="0"/>
    <x v="4"/>
    <x v="1"/>
    <n v="1000287"/>
    <s v="SERV FRETE CAMINHAO PRANCHA AGRIC"/>
    <s v="FRETE JATOBA II PARA SERRINHA"/>
    <n v="4002"/>
    <s v="AGUDOS"/>
    <s v="0270"/>
    <n v="371065"/>
    <n v="10789039"/>
    <n v="250"/>
    <s v="KM"/>
    <n v="12.28"/>
    <n v="3070"/>
  </r>
  <r>
    <x v="206"/>
    <x v="57"/>
    <x v="6"/>
    <x v="0"/>
    <x v="4"/>
    <x v="1"/>
    <n v="1000287"/>
    <s v="SERV FRETE CAMINHAO PRANCHA AGRIC"/>
    <s v="FRETE JATOBA II PARA SERRINHA"/>
    <n v="4002"/>
    <s v="AGUDOS"/>
    <s v="0270"/>
    <n v="371065"/>
    <n v="10789039"/>
    <n v="250"/>
    <s v="KM"/>
    <n v="12.28"/>
    <n v="3070"/>
  </r>
  <r>
    <x v="207"/>
    <x v="57"/>
    <x v="6"/>
    <x v="2"/>
    <x v="4"/>
    <x v="1"/>
    <n v="1000238"/>
    <s v="SERV DESP PEDAGIO"/>
    <s v="PEDAGIO FRETE JATOBA II PARA SERRINHA"/>
    <s v="-"/>
    <s v="LENCOIS PAULISTA"/>
    <n v="7901"/>
    <n v="371065"/>
    <n v="10789039"/>
    <n v="1"/>
    <s v="UA"/>
    <n v="94.8"/>
    <n v="94.8"/>
  </r>
  <r>
    <x v="208"/>
    <x v="57"/>
    <x v="6"/>
    <x v="2"/>
    <x v="4"/>
    <x v="1"/>
    <n v="1000238"/>
    <s v="SERV DESP PEDAGIO"/>
    <s v="PEDAGIO FRETE JATOBA II PARA SERRINHA"/>
    <s v="-"/>
    <s v="LENCOIS PAULISTA"/>
    <n v="7901"/>
    <n v="371065"/>
    <n v="10789039"/>
    <n v="1"/>
    <s v="UA"/>
    <n v="94.8"/>
    <n v="94.8"/>
  </r>
  <r>
    <x v="209"/>
    <x v="57"/>
    <x v="6"/>
    <x v="2"/>
    <x v="4"/>
    <x v="1"/>
    <n v="1000238"/>
    <s v="SERV DESP PEDAGIO"/>
    <s v="PEDAGIO FRETE JATOBA II PARA SERRINHA"/>
    <s v="-"/>
    <s v="LENCOIS PAULISTA"/>
    <n v="7901"/>
    <n v="371065"/>
    <n v="10789039"/>
    <n v="1"/>
    <s v="UA"/>
    <n v="71.099999999999994"/>
    <n v="71.099999999999994"/>
  </r>
  <r>
    <x v="210"/>
    <x v="58"/>
    <x v="6"/>
    <x v="0"/>
    <x v="4"/>
    <x v="1"/>
    <n v="1000287"/>
    <s v="SERV FRETE CAMINHAO PRANCHA AGRIC"/>
    <s v="FRETE MACEDONIA PARA FLECHA AZUL"/>
    <n v="4106"/>
    <s v="BOA ESPERANCA DO SUL"/>
    <n v="2081"/>
    <n v="371065"/>
    <n v="10789039"/>
    <n v="375"/>
    <s v="KM"/>
    <n v="12.28"/>
    <n v="4605"/>
  </r>
  <r>
    <x v="211"/>
    <x v="58"/>
    <x v="6"/>
    <x v="0"/>
    <x v="4"/>
    <x v="1"/>
    <n v="1000287"/>
    <s v="SERV FRETE CAMINHAO PRANCHA AGRIC"/>
    <s v="FRETE MACEDONIA PARA FLECHA AZUL"/>
    <n v="4106"/>
    <s v="BOA ESPERANCA DO SUL"/>
    <n v="2081"/>
    <n v="371065"/>
    <n v="10789039"/>
    <n v="371"/>
    <s v="KM"/>
    <n v="12.28"/>
    <n v="4555.88"/>
  </r>
  <r>
    <x v="212"/>
    <x v="58"/>
    <x v="6"/>
    <x v="2"/>
    <x v="4"/>
    <x v="1"/>
    <n v="1000238"/>
    <s v="SERV DESP PEDAGIO"/>
    <s v="PEDAGIO FRETE MACEDONIA PARA FLECHA AZUL"/>
    <s v="-"/>
    <s v="LENCOIS PAULISTA"/>
    <n v="7901"/>
    <n v="371065"/>
    <n v="10789039"/>
    <n v="1"/>
    <s v="UA"/>
    <n v="358.59"/>
    <n v="358.59"/>
  </r>
  <r>
    <x v="213"/>
    <x v="58"/>
    <x v="6"/>
    <x v="2"/>
    <x v="4"/>
    <x v="1"/>
    <n v="1000238"/>
    <s v="SERV DESP PEDAGIO"/>
    <s v="PEDAGIO FRETE MACEDONIA PARA FLECHA AZUL"/>
    <s v="-"/>
    <s v="LENCOIS PAULISTA"/>
    <n v="7901"/>
    <n v="371065"/>
    <n v="10789039"/>
    <n v="1"/>
    <s v="UA"/>
    <n v="274.02999999999997"/>
    <n v="274.02999999999997"/>
  </r>
  <r>
    <x v="214"/>
    <x v="59"/>
    <x v="1"/>
    <x v="9"/>
    <x v="9"/>
    <x v="6"/>
    <s v="0200111"/>
    <s v="SERV CONFECCAO DE ADESIVOS"/>
    <s v="PAINEL EM ACM BRANCO C/ IMPRESSAO DIGITAL 5 X 1,20 QUADRO METALON"/>
    <s v="-"/>
    <s v="LENCOIS PAULISTA"/>
    <n v="7901"/>
    <n v="371011"/>
    <n v="10792042"/>
    <n v="1"/>
    <s v="UA"/>
    <n v="1855"/>
    <n v="1855"/>
  </r>
  <r>
    <x v="215"/>
    <x v="56"/>
    <x v="5"/>
    <x v="9"/>
    <x v="5"/>
    <x v="6"/>
    <s v="0200111"/>
    <s v="SERV CONFECCAO DE ADESIVOS"/>
    <s v="ADESIVO MAPA DE RISCO"/>
    <s v="-"/>
    <s v="LENCOIS PAULISTA"/>
    <n v="7901"/>
    <n v="371045"/>
    <n v="10792042"/>
    <n v="1"/>
    <s v="UA"/>
    <n v="285"/>
    <n v="285"/>
  </r>
  <r>
    <x v="216"/>
    <x v="56"/>
    <x v="5"/>
    <x v="9"/>
    <x v="5"/>
    <x v="6"/>
    <s v="0200111"/>
    <s v="SERV CONFECCAO DE ADESIVOS"/>
    <s v="ACRILICO FOLHA A4 DOBRADOS PARA ARMAZENAR FISPQ E DOCUMENTOS"/>
    <s v="-"/>
    <s v="LENCOIS PAULISTA"/>
    <n v="7901"/>
    <n v="371045"/>
    <n v="10792042"/>
    <n v="5"/>
    <s v="UA"/>
    <n v="74.8"/>
    <n v="374"/>
  </r>
  <r>
    <x v="217"/>
    <x v="60"/>
    <x v="5"/>
    <x v="9"/>
    <x v="0"/>
    <x v="6"/>
    <s v="0200111"/>
    <s v="SERV CONFECCAO DE ADESIVOS"/>
    <s v="PLACA EM ACM INDICATIVA DE ADVERTENCIA"/>
    <s v="-"/>
    <s v="LENCOIS PAULISTA"/>
    <n v="7901"/>
    <n v="371094"/>
    <n v="10792042"/>
    <n v="1"/>
    <s v="UA"/>
    <n v="127"/>
    <n v="127"/>
  </r>
  <r>
    <x v="218"/>
    <x v="58"/>
    <x v="5"/>
    <x v="9"/>
    <x v="5"/>
    <x v="6"/>
    <s v="0200111"/>
    <s v="SERV CONFECCAO DE ADESIVOS"/>
    <s v="PLACA EM ACM INDICATIVA DE ADVERTENCIA"/>
    <s v="-"/>
    <s v="LENCOIS PAULISTA"/>
    <n v="7901"/>
    <n v="371045"/>
    <n v="10792042"/>
    <n v="1"/>
    <s v="UA"/>
    <n v="127"/>
    <n v="127"/>
  </r>
  <r>
    <x v="219"/>
    <x v="58"/>
    <x v="5"/>
    <x v="9"/>
    <x v="5"/>
    <x v="6"/>
    <s v="0200111"/>
    <s v="SERV CONFECCAO DE ADESIVOS"/>
    <s v="PLACA DE SINALIZACAO INDICATIVA"/>
    <s v="-"/>
    <s v="LENCOIS PAULISTA"/>
    <n v="7901"/>
    <n v="371045"/>
    <n v="10792042"/>
    <n v="1"/>
    <s v="UA"/>
    <n v="68.459999999999994"/>
    <n v="68.459999999999994"/>
  </r>
  <r>
    <x v="220"/>
    <x v="58"/>
    <x v="5"/>
    <x v="9"/>
    <x v="5"/>
    <x v="6"/>
    <s v="0200111"/>
    <s v="SERV CONFECCAO DE ADESIVOS"/>
    <s v="PLACA EM ACM INDICATIVA DE ADVERTENCIA"/>
    <s v="-"/>
    <s v="LENCOIS PAULISTA"/>
    <n v="7901"/>
    <n v="371045"/>
    <n v="10792042"/>
    <n v="1"/>
    <s v="UA"/>
    <n v="127"/>
    <n v="127"/>
  </r>
  <r>
    <x v="221"/>
    <x v="58"/>
    <x v="5"/>
    <x v="9"/>
    <x v="5"/>
    <x v="6"/>
    <s v="0200111"/>
    <s v="SERV CONFECCAO DE ADESIVOS"/>
    <s v="CAIXA PARA RESIDUOS"/>
    <s v="-"/>
    <s v="LENCOIS PAULISTA"/>
    <n v="7901"/>
    <n v="371045"/>
    <n v="10792042"/>
    <n v="1"/>
    <s v="UA"/>
    <n v="238"/>
    <n v="238"/>
  </r>
  <r>
    <x v="222"/>
    <x v="58"/>
    <x v="5"/>
    <x v="9"/>
    <x v="5"/>
    <x v="6"/>
    <s v="0200111"/>
    <s v="SERV CONFECCAO DE ADESIVOS"/>
    <s v="ACRILICO FOLHA A4 DOBRADOS PARA ARMAZENAR FISPQ E DOCUMENTOS"/>
    <s v="-"/>
    <s v="LENCOIS PAULISTA"/>
    <n v="7901"/>
    <n v="371045"/>
    <n v="10792042"/>
    <n v="3"/>
    <s v="UA"/>
    <n v="74.8"/>
    <n v="224.39999999999998"/>
  </r>
  <r>
    <x v="223"/>
    <x v="58"/>
    <x v="5"/>
    <x v="9"/>
    <x v="5"/>
    <x v="6"/>
    <s v="0200111"/>
    <s v="SERV CONFECCAO DE ADESIVOS"/>
    <s v="ADESIVO ABELHA"/>
    <s v="-"/>
    <s v="LENCOIS PAULISTA"/>
    <n v="7901"/>
    <n v="371045"/>
    <n v="10792042"/>
    <n v="1"/>
    <s v="UA"/>
    <n v="30"/>
    <n v="30"/>
  </r>
  <r>
    <x v="224"/>
    <x v="58"/>
    <x v="5"/>
    <x v="9"/>
    <x v="5"/>
    <x v="6"/>
    <s v="0200111"/>
    <s v="SERV CONFECCAO DE ADESIVOS"/>
    <s v="ADESIVO EM IMPRESSAO"/>
    <s v="-"/>
    <s v="LENCOIS PAULISTA"/>
    <n v="7901"/>
    <n v="371045"/>
    <n v="10792042"/>
    <n v="1"/>
    <s v="UA"/>
    <n v="9"/>
    <n v="9"/>
  </r>
  <r>
    <x v="225"/>
    <x v="58"/>
    <x v="5"/>
    <x v="9"/>
    <x v="5"/>
    <x v="6"/>
    <s v="0200111"/>
    <s v="SERV CONFECCAO DE ADESIVOS"/>
    <s v="ADESIVO EM IMPRESSAO"/>
    <s v="-"/>
    <s v="LENCOIS PAULISTA"/>
    <n v="7901"/>
    <n v="371045"/>
    <n v="10792042"/>
    <n v="1"/>
    <s v="UA"/>
    <n v="9"/>
    <n v="9"/>
  </r>
  <r>
    <x v="226"/>
    <x v="58"/>
    <x v="5"/>
    <x v="9"/>
    <x v="5"/>
    <x v="6"/>
    <s v="0200111"/>
    <s v="SERV CONFECCAO DE ADESIVOS"/>
    <s v="ADESIVO C/ IMPRESSAO DIGITAL E RECORTE KIT PRIMEIROS SOCORROS"/>
    <s v="-"/>
    <s v="LENCOIS PAULISTA"/>
    <n v="7901"/>
    <n v="371045"/>
    <n v="10792042"/>
    <n v="1"/>
    <s v="UA"/>
    <n v="30"/>
    <n v="30"/>
  </r>
  <r>
    <x v="227"/>
    <x v="58"/>
    <x v="5"/>
    <x v="9"/>
    <x v="5"/>
    <x v="6"/>
    <s v="0200111"/>
    <s v="SERV CONFECCAO DE ADESIVOS"/>
    <s v="ADESIVA EM RECORTE POLIMERICO"/>
    <s v="-"/>
    <s v="LENCOIS PAULISTA"/>
    <n v="7901"/>
    <n v="371045"/>
    <n v="10792042"/>
    <n v="1"/>
    <s v="UA"/>
    <n v="38"/>
    <n v="38"/>
  </r>
  <r>
    <x v="228"/>
    <x v="58"/>
    <x v="5"/>
    <x v="9"/>
    <x v="5"/>
    <x v="6"/>
    <s v="0200111"/>
    <s v="SERV CONFECCAO DE ADESIVOS"/>
    <s v="ADESIVOS PARA PAINEIS ELETRICOS"/>
    <s v="-"/>
    <s v="LENCOIS PAULISTA"/>
    <n v="7901"/>
    <n v="371045"/>
    <n v="10792042"/>
    <n v="2"/>
    <s v="UA"/>
    <n v="15"/>
    <n v="30"/>
  </r>
  <r>
    <x v="229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30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1"/>
    <s v="UA"/>
    <n v="5"/>
    <n v="5"/>
  </r>
  <r>
    <x v="231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4"/>
    <s v="UA"/>
    <n v="5"/>
    <n v="20"/>
  </r>
  <r>
    <x v="232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33"/>
    <x v="61"/>
    <x v="5"/>
    <x v="9"/>
    <x v="0"/>
    <x v="6"/>
    <s v="0200111"/>
    <s v="SERV CONFECCAO DE ADESIVOS"/>
    <s v="ADESIVO IMPRESSAO DIGITAL RECORTE DE CONTORNO"/>
    <s v="-"/>
    <s v="LENCOIS PAULISTA"/>
    <n v="7901"/>
    <n v="371094"/>
    <n v="10792042"/>
    <n v="4"/>
    <s v="UA"/>
    <n v="8.5"/>
    <n v="34"/>
  </r>
  <r>
    <x v="234"/>
    <x v="61"/>
    <x v="5"/>
    <x v="9"/>
    <x v="0"/>
    <x v="6"/>
    <s v="0200111"/>
    <s v="SERV CONFECCAO DE ADESIVOS"/>
    <s v="ADESIVO IMPRESSAO DIGITAL RECORTE DE CONTORNO"/>
    <s v="-"/>
    <s v="LENCOIS PAULISTA"/>
    <n v="7901"/>
    <n v="371094"/>
    <n v="10792042"/>
    <n v="4"/>
    <s v="UA"/>
    <n v="8.5"/>
    <n v="34"/>
  </r>
  <r>
    <x v="235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3"/>
    <s v="UA"/>
    <n v="5"/>
    <n v="15"/>
  </r>
  <r>
    <x v="236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4"/>
    <s v="UA"/>
    <n v="5"/>
    <n v="20"/>
  </r>
  <r>
    <x v="237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4"/>
    <s v="UA"/>
    <n v="5"/>
    <n v="20"/>
  </r>
  <r>
    <x v="238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4"/>
    <s v="UA"/>
    <n v="5"/>
    <n v="20"/>
  </r>
  <r>
    <x v="239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1"/>
    <s v="UA"/>
    <n v="5"/>
    <n v="5"/>
  </r>
  <r>
    <x v="240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41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42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43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6"/>
    <s v="UA"/>
    <n v="5"/>
    <n v="30"/>
  </r>
  <r>
    <x v="244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45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46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1"/>
    <s v="UA"/>
    <n v="5"/>
    <n v="5"/>
  </r>
  <r>
    <x v="247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1"/>
    <s v="UA"/>
    <n v="5"/>
    <n v="5"/>
  </r>
  <r>
    <x v="248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49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50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2"/>
    <s v="UA"/>
    <n v="5"/>
    <n v="10"/>
  </r>
  <r>
    <x v="251"/>
    <x v="61"/>
    <x v="5"/>
    <x v="9"/>
    <x v="0"/>
    <x v="6"/>
    <s v="0200111"/>
    <s v="SERV CONFECCAO DE ADESIVOS"/>
    <s v="ADESIVO IMPRESSAO DIGITAL"/>
    <s v="-"/>
    <s v="LENCOIS PAULISTA"/>
    <n v="7901"/>
    <n v="371094"/>
    <n v="10792042"/>
    <n v="1"/>
    <s v="UA"/>
    <n v="5"/>
    <n v="5"/>
  </r>
  <r>
    <x v="252"/>
    <x v="61"/>
    <x v="5"/>
    <x v="9"/>
    <x v="0"/>
    <x v="6"/>
    <s v="0200111"/>
    <s v="SERV CONFECCAO DE ADESIVOS"/>
    <s v="ADESIVO DE IDENTIFICACAO"/>
    <s v="-"/>
    <s v="LENCOIS PAULISTA"/>
    <n v="7901"/>
    <n v="371094"/>
    <n v="10792042"/>
    <n v="2"/>
    <s v="UA"/>
    <n v="15"/>
    <n v="30"/>
  </r>
  <r>
    <x v="253"/>
    <x v="61"/>
    <x v="5"/>
    <x v="9"/>
    <x v="0"/>
    <x v="6"/>
    <s v="0200111"/>
    <s v="SERV CONFECCAO DE ADESIVOS"/>
    <s v="ADESIVO DE EXTINTORES"/>
    <s v="-"/>
    <s v="LENCOIS PAULISTA"/>
    <n v="7901"/>
    <n v="371094"/>
    <n v="10792042"/>
    <n v="6"/>
    <s v="UA"/>
    <n v="14.9"/>
    <n v="89.4"/>
  </r>
  <r>
    <x v="254"/>
    <x v="61"/>
    <x v="5"/>
    <x v="9"/>
    <x v="0"/>
    <x v="6"/>
    <s v="0200111"/>
    <s v="SERV CONFECCAO DE ADESIVOS"/>
    <s v="PLACA DE SINALIZACAO INDICATIVA"/>
    <s v="-"/>
    <s v="LENCOIS PAULISTA"/>
    <n v="7901"/>
    <n v="371094"/>
    <n v="10792042"/>
    <n v="2"/>
    <s v="UA"/>
    <n v="68.459999999999994"/>
    <n v="136.91999999999999"/>
  </r>
  <r>
    <x v="255"/>
    <x v="61"/>
    <x v="5"/>
    <x v="9"/>
    <x v="0"/>
    <x v="6"/>
    <s v="0200111"/>
    <s v="SERV CONFECCAO DE ADESIVOS"/>
    <s v="ADESIVO EM IMPRESSAO"/>
    <s v="-"/>
    <s v="LENCOIS PAULISTA"/>
    <n v="7901"/>
    <n v="371094"/>
    <n v="10792042"/>
    <n v="6"/>
    <s v="UA"/>
    <n v="27"/>
    <n v="162"/>
  </r>
  <r>
    <x v="256"/>
    <x v="61"/>
    <x v="5"/>
    <x v="9"/>
    <x v="0"/>
    <x v="6"/>
    <s v="0200111"/>
    <s v="SERV CONFECCAO DE ADESIVOS"/>
    <s v="ADESIVO EM IMPRESSAO"/>
    <s v="-"/>
    <s v="LENCOIS PAULISTA"/>
    <n v="7901"/>
    <n v="371094"/>
    <n v="10792042"/>
    <n v="6"/>
    <s v="UA"/>
    <n v="13.5"/>
    <n v="81"/>
  </r>
  <r>
    <x v="257"/>
    <x v="61"/>
    <x v="5"/>
    <x v="9"/>
    <x v="0"/>
    <x v="6"/>
    <s v="0200111"/>
    <s v="SERV CONFECCAO DE ADESIVOS"/>
    <s v="ADESIVO EM IMPRESSAO"/>
    <s v="-"/>
    <s v="LENCOIS PAULISTA"/>
    <n v="7901"/>
    <n v="371094"/>
    <n v="10792042"/>
    <n v="6"/>
    <s v="UA"/>
    <n v="3"/>
    <n v="18"/>
  </r>
  <r>
    <x v="258"/>
    <x v="61"/>
    <x v="5"/>
    <x v="9"/>
    <x v="0"/>
    <x v="6"/>
    <s v="0200111"/>
    <s v="SERV CONFECCAO DE ADESIVOS"/>
    <s v="ADESIVO EM IMPRESSAO"/>
    <s v="-"/>
    <s v="LENCOIS PAULISTA"/>
    <n v="7901"/>
    <n v="371094"/>
    <n v="10792042"/>
    <n v="4"/>
    <s v="UA"/>
    <n v="18.75"/>
    <n v="75"/>
  </r>
  <r>
    <x v="259"/>
    <x v="61"/>
    <x v="5"/>
    <x v="9"/>
    <x v="0"/>
    <x v="6"/>
    <s v="0200111"/>
    <s v="SERV CONFECCAO DE ADESIVOS"/>
    <s v="ADESIVO EM IMPRESSAO"/>
    <s v="-"/>
    <s v="LENCOIS PAULISTA"/>
    <n v="7901"/>
    <n v="371094"/>
    <n v="10792042"/>
    <n v="2"/>
    <s v="UA"/>
    <n v="9"/>
    <n v="18"/>
  </r>
  <r>
    <x v="260"/>
    <x v="61"/>
    <x v="5"/>
    <x v="9"/>
    <x v="0"/>
    <x v="6"/>
    <s v="0200111"/>
    <s v="SERV CONFECCAO DE ADESIVOS"/>
    <s v="ADESIVO EM IMPRESSAO"/>
    <s v="-"/>
    <s v="LENCOIS PAULISTA"/>
    <n v="7901"/>
    <n v="371094"/>
    <n v="10792042"/>
    <n v="6"/>
    <s v="UA"/>
    <n v="30"/>
    <n v="180"/>
  </r>
  <r>
    <x v="261"/>
    <x v="61"/>
    <x v="5"/>
    <x v="9"/>
    <x v="0"/>
    <x v="6"/>
    <s v="0200111"/>
    <s v="SERV CONFECCAO DE ADESIVOS"/>
    <s v="CAIXA PARA RESIDUOS"/>
    <s v="-"/>
    <s v="LENCOIS PAULISTA"/>
    <n v="7901"/>
    <n v="371094"/>
    <n v="10792042"/>
    <n v="1"/>
    <s v="UA"/>
    <n v="325"/>
    <n v="325"/>
  </r>
  <r>
    <x v="262"/>
    <x v="61"/>
    <x v="5"/>
    <x v="9"/>
    <x v="0"/>
    <x v="6"/>
    <s v="0200111"/>
    <s v="SERV CONFECCAO DE ADESIVOS"/>
    <s v="PLACA DE SINALIZACAO INDICATIVA"/>
    <s v="-"/>
    <s v="LENCOIS PAULISTA"/>
    <n v="7901"/>
    <n v="371094"/>
    <n v="10792042"/>
    <n v="2"/>
    <s v="UA"/>
    <n v="278"/>
    <n v="556"/>
  </r>
  <r>
    <x v="263"/>
    <x v="61"/>
    <x v="5"/>
    <x v="9"/>
    <x v="0"/>
    <x v="6"/>
    <s v="0200111"/>
    <s v="SERV CONFECCAO DE ADESIVOS"/>
    <s v="PLACA DE SINALIZACAO INDICATIVA"/>
    <s v="-"/>
    <s v="LENCOIS PAULISTA"/>
    <n v="7901"/>
    <n v="371094"/>
    <n v="10792042"/>
    <n v="2"/>
    <s v="UA"/>
    <n v="278"/>
    <n v="556"/>
  </r>
  <r>
    <x v="264"/>
    <x v="61"/>
    <x v="5"/>
    <x v="9"/>
    <x v="0"/>
    <x v="6"/>
    <s v="0200111"/>
    <s v="SERV CONFECCAO DE ADESIVOS"/>
    <s v="PLACA EM ACM INDICATIVA DE ADVERTENCIA"/>
    <s v="-"/>
    <s v="LENCOIS PAULISTA"/>
    <n v="7901"/>
    <n v="371094"/>
    <n v="10792042"/>
    <n v="3"/>
    <s v="UA"/>
    <n v="127"/>
    <n v="381"/>
  </r>
  <r>
    <x v="265"/>
    <x v="62"/>
    <x v="5"/>
    <x v="9"/>
    <x v="0"/>
    <x v="6"/>
    <s v="0200111"/>
    <s v="SERV CONFECCAO DE ADESIVOS"/>
    <s v="CAVALETE INDICATIVO"/>
    <s v="-"/>
    <s v="LENCOIS PAULISTA"/>
    <n v="7901"/>
    <n v="371094"/>
    <n v="10792042"/>
    <n v="6"/>
    <s v="UA"/>
    <n v="278"/>
    <n v="1668"/>
  </r>
  <r>
    <x v="266"/>
    <x v="62"/>
    <x v="5"/>
    <x v="9"/>
    <x v="0"/>
    <x v="6"/>
    <s v="0200111"/>
    <s v="SERV CONFECCAO DE ADESIVOS"/>
    <s v="CAVALETE INDICATIVO"/>
    <s v="-"/>
    <s v="LENCOIS PAULISTA"/>
    <n v="7901"/>
    <n v="371094"/>
    <n v="10792042"/>
    <n v="6"/>
    <s v="UA"/>
    <n v="278"/>
    <n v="1668"/>
  </r>
  <r>
    <x v="267"/>
    <x v="62"/>
    <x v="5"/>
    <x v="9"/>
    <x v="0"/>
    <x v="6"/>
    <s v="0200111"/>
    <s v="SERV CONFECCAO DE ADESIVOS"/>
    <s v="ADESIVO C/ IMPRESSAO DIGITAL"/>
    <s v="-"/>
    <s v="LENCOIS PAULISTA"/>
    <n v="7901"/>
    <n v="371094"/>
    <n v="10792042"/>
    <n v="10"/>
    <s v="UA"/>
    <n v="8.5"/>
    <n v="85"/>
  </r>
  <r>
    <x v="268"/>
    <x v="62"/>
    <x v="5"/>
    <x v="9"/>
    <x v="0"/>
    <x v="6"/>
    <s v="0200111"/>
    <s v="SERV CONFECCAO DE ADESIVOS"/>
    <s v="ADESIVO C/ IMPRESSAO DIGITAL"/>
    <s v="-"/>
    <s v="LENCOIS PAULISTA"/>
    <n v="7901"/>
    <n v="371094"/>
    <n v="10792042"/>
    <n v="6"/>
    <s v="UA"/>
    <n v="8.5"/>
    <n v="51"/>
  </r>
  <r>
    <x v="269"/>
    <x v="62"/>
    <x v="5"/>
    <x v="9"/>
    <x v="0"/>
    <x v="6"/>
    <s v="0200111"/>
    <s v="SERV CONFECCAO DE ADESIVOS"/>
    <s v="ADESIVO C/ IMPRESSAO DIGITAL"/>
    <s v="-"/>
    <s v="LENCOIS PAULISTA"/>
    <n v="7901"/>
    <n v="371094"/>
    <n v="10792042"/>
    <n v="10"/>
    <s v="UA"/>
    <n v="15"/>
    <n v="150"/>
  </r>
  <r>
    <x v="270"/>
    <x v="62"/>
    <x v="5"/>
    <x v="9"/>
    <x v="4"/>
    <x v="6"/>
    <s v="0200111"/>
    <s v="SERV CONFECCAO DE ADESIVOS"/>
    <s v="PLACA DE SINALIZACAO ADVERTENCIA"/>
    <s v="-"/>
    <s v="LENCOIS PAULISTA"/>
    <n v="7901"/>
    <n v="371065"/>
    <n v="10792042"/>
    <n v="1"/>
    <s v="UA"/>
    <n v="127"/>
    <n v="127"/>
  </r>
  <r>
    <x v="271"/>
    <x v="62"/>
    <x v="5"/>
    <x v="9"/>
    <x v="4"/>
    <x v="6"/>
    <s v="0200111"/>
    <s v="SERV CONFECCAO DE ADESIVOS"/>
    <s v="PLACA DE SINALIZACAO ADVERTENCIA"/>
    <s v="-"/>
    <s v="LENCOIS PAULISTA"/>
    <n v="7901"/>
    <n v="371065"/>
    <n v="10792042"/>
    <n v="2"/>
    <s v="UA"/>
    <n v="278"/>
    <n v="556"/>
  </r>
  <r>
    <x v="272"/>
    <x v="62"/>
    <x v="5"/>
    <x v="9"/>
    <x v="4"/>
    <x v="6"/>
    <s v="0200111"/>
    <s v="SERV CONFECCAO DE ADESIVOS"/>
    <s v="PLACA DE SINALIZACAO ADVERTENCIA"/>
    <s v="-"/>
    <s v="LENCOIS PAULISTA"/>
    <n v="7901"/>
    <n v="371065"/>
    <n v="10792042"/>
    <n v="2"/>
    <s v="UA"/>
    <n v="278"/>
    <n v="556"/>
  </r>
  <r>
    <x v="273"/>
    <x v="62"/>
    <x v="5"/>
    <x v="9"/>
    <x v="4"/>
    <x v="6"/>
    <s v="0200111"/>
    <s v="SERV CONFECCAO DE ADESIVOS"/>
    <s v="PLACA DE SINALIZACAO ADVERTENCIA"/>
    <s v="-"/>
    <s v="LENCOIS PAULISTA"/>
    <n v="7901"/>
    <n v="371065"/>
    <n v="10792042"/>
    <n v="2"/>
    <s v="UA"/>
    <n v="127"/>
    <n v="254"/>
  </r>
  <r>
    <x v="274"/>
    <x v="62"/>
    <x v="5"/>
    <x v="9"/>
    <x v="4"/>
    <x v="6"/>
    <s v="0200111"/>
    <s v="SERV CONFECCAO DE ADESIVOS"/>
    <s v="PLACA DE SINALIZACAO ADVERTENCIA"/>
    <s v="-"/>
    <s v="LENCOIS PAULISTA"/>
    <n v="7901"/>
    <n v="371065"/>
    <n v="10792042"/>
    <n v="2"/>
    <s v="UA"/>
    <n v="278"/>
    <n v="556"/>
  </r>
  <r>
    <x v="275"/>
    <x v="62"/>
    <x v="5"/>
    <x v="9"/>
    <x v="4"/>
    <x v="6"/>
    <s v="0200111"/>
    <s v="SERV CONFECCAO DE ADESIVOS"/>
    <s v="PLACA DE SINALIZACAO ADVERTENCIA"/>
    <s v="-"/>
    <s v="LENCOIS PAULISTA"/>
    <n v="7901"/>
    <n v="371065"/>
    <n v="10792042"/>
    <n v="2"/>
    <s v="UA"/>
    <n v="127"/>
    <n v="254"/>
  </r>
  <r>
    <x v="276"/>
    <x v="62"/>
    <x v="5"/>
    <x v="9"/>
    <x v="5"/>
    <x v="6"/>
    <s v="0200111"/>
    <s v="SERV CONFECCAO DE ADESIVOS"/>
    <s v="CAIXA PARA RESIDUOS"/>
    <s v="-"/>
    <s v="LENCOIS PAULISTA"/>
    <n v="7901"/>
    <n v="371045"/>
    <n v="10792042"/>
    <n v="1"/>
    <s v="UA"/>
    <n v="238"/>
    <n v="238"/>
  </r>
  <r>
    <x v="277"/>
    <x v="62"/>
    <x v="5"/>
    <x v="9"/>
    <x v="5"/>
    <x v="6"/>
    <s v="0200111"/>
    <s v="SERV CONFECCAO DE ADESIVOS"/>
    <s v="ACRILICO FOLHA A4 DOBRADOS PARA ARMAZENAR FISPQ E DOCUMENTOS"/>
    <s v="-"/>
    <s v="LENCOIS PAULISTA"/>
    <n v="7901"/>
    <n v="371045"/>
    <n v="10792042"/>
    <n v="6"/>
    <s v="UA"/>
    <n v="74.8"/>
    <n v="448.79999999999995"/>
  </r>
  <r>
    <x v="278"/>
    <x v="62"/>
    <x v="5"/>
    <x v="9"/>
    <x v="5"/>
    <x v="6"/>
    <s v="0200111"/>
    <s v="SERV CONFECCAO DE ADESIVOS"/>
    <s v="PLACA EM ACM INDICATIVA DE ADVERTENCIA"/>
    <s v="-"/>
    <s v="LENCOIS PAULISTA"/>
    <n v="7901"/>
    <n v="371045"/>
    <n v="10792042"/>
    <n v="1"/>
    <s v="UA"/>
    <n v="127"/>
    <n v="127"/>
  </r>
  <r>
    <x v="279"/>
    <x v="62"/>
    <x v="5"/>
    <x v="9"/>
    <x v="5"/>
    <x v="6"/>
    <s v="0200111"/>
    <s v="SERV CONFECCAO DE ADESIVOS"/>
    <s v="ADESIVO EM IMPRESSAO DIGITAL"/>
    <s v="-"/>
    <s v="LENCOIS PAULISTA"/>
    <n v="7901"/>
    <n v="371045"/>
    <n v="10792042"/>
    <n v="15"/>
    <s v="UA"/>
    <n v="9"/>
    <n v="135"/>
  </r>
  <r>
    <x v="280"/>
    <x v="62"/>
    <x v="5"/>
    <x v="9"/>
    <x v="5"/>
    <x v="6"/>
    <s v="0200111"/>
    <s v="SERV CONFECCAO DE ADESIVOS"/>
    <s v="ADESIVO EM IMPRESSAO DIGITAL"/>
    <s v="-"/>
    <s v="LENCOIS PAULISTA"/>
    <n v="7901"/>
    <n v="371045"/>
    <n v="10792042"/>
    <n v="7"/>
    <s v="UA"/>
    <n v="1.8"/>
    <n v="12.6"/>
  </r>
  <r>
    <x v="281"/>
    <x v="62"/>
    <x v="5"/>
    <x v="9"/>
    <x v="5"/>
    <x v="6"/>
    <s v="0200111"/>
    <s v="SERV CONFECCAO DE ADESIVOS"/>
    <s v="ADESIVO EM IMPRESSAO DIGITAL"/>
    <s v="-"/>
    <s v="LENCOIS PAULISTA"/>
    <n v="7901"/>
    <n v="371045"/>
    <n v="10792042"/>
    <n v="1"/>
    <s v="UA"/>
    <n v="78"/>
    <n v="78"/>
  </r>
  <r>
    <x v="282"/>
    <x v="63"/>
    <x v="6"/>
    <x v="9"/>
    <x v="4"/>
    <x v="6"/>
    <s v="0200111"/>
    <s v="SERV CONFECCAO DE ADESIVOS"/>
    <s v="ADESIVO EM IMPRESSAO DIGITAL"/>
    <s v="-"/>
    <s v="LENCOIS PAULISTA"/>
    <n v="7901"/>
    <n v="371065"/>
    <n v="10792042"/>
    <n v="3"/>
    <s v="UA"/>
    <n v="13.5"/>
    <n v="40.5"/>
  </r>
  <r>
    <x v="283"/>
    <x v="63"/>
    <x v="6"/>
    <x v="9"/>
    <x v="4"/>
    <x v="6"/>
    <s v="0200111"/>
    <s v="SERV CONFECCAO DE ADESIVOS"/>
    <s v="CAIXA PARA RESIDUOS"/>
    <s v="-"/>
    <s v="LENCOIS PAULISTA"/>
    <n v="7901"/>
    <n v="371065"/>
    <n v="10792042"/>
    <n v="1"/>
    <s v="UA"/>
    <n v="325"/>
    <n v="325"/>
  </r>
  <r>
    <x v="284"/>
    <x v="63"/>
    <x v="6"/>
    <x v="9"/>
    <x v="4"/>
    <x v="6"/>
    <s v="0200111"/>
    <s v="SERV CONFECCAO DE ADESIVOS"/>
    <s v="CAIXA PARA RESIDUOS"/>
    <s v="-"/>
    <s v="LENCOIS PAULISTA"/>
    <n v="7901"/>
    <n v="371065"/>
    <n v="10792042"/>
    <n v="1"/>
    <s v="UA"/>
    <n v="238"/>
    <n v="238"/>
  </r>
  <r>
    <x v="285"/>
    <x v="63"/>
    <x v="6"/>
    <x v="9"/>
    <x v="4"/>
    <x v="6"/>
    <s v="0200111"/>
    <s v="SERV CONFECCAO DE ADESIVOS"/>
    <s v="PLACA DE SINALIZACAO"/>
    <s v="-"/>
    <s v="LENCOIS PAULISTA"/>
    <n v="7901"/>
    <n v="371065"/>
    <n v="10792042"/>
    <n v="1"/>
    <s v="UA"/>
    <n v="278"/>
    <n v="278"/>
  </r>
  <r>
    <x v="286"/>
    <x v="63"/>
    <x v="6"/>
    <x v="9"/>
    <x v="4"/>
    <x v="6"/>
    <s v="0200111"/>
    <s v="SERV CONFECCAO DE ADESIVOS"/>
    <s v="PLACA DE SINALIZACAO"/>
    <s v="-"/>
    <s v="LENCOIS PAULISTA"/>
    <n v="7901"/>
    <n v="371065"/>
    <n v="10792042"/>
    <n v="1"/>
    <s v="UA"/>
    <n v="278"/>
    <n v="278"/>
  </r>
  <r>
    <x v="287"/>
    <x v="64"/>
    <x v="6"/>
    <x v="9"/>
    <x v="3"/>
    <x v="6"/>
    <s v="0200111"/>
    <s v="SERV CONFECCAO DE ADESIVOS"/>
    <s v="CAIXA PARA RESIDUOS"/>
    <s v="-"/>
    <s v="LENCOIS PAULISTA"/>
    <n v="7901"/>
    <n v="371055"/>
    <n v="10792042"/>
    <n v="15"/>
    <s v="UA"/>
    <n v="238"/>
    <n v="3570"/>
  </r>
  <r>
    <x v="288"/>
    <x v="64"/>
    <x v="6"/>
    <x v="9"/>
    <x v="3"/>
    <x v="6"/>
    <s v="0200111"/>
    <s v="SERV CONFECCAO DE ADESIVOS"/>
    <s v="ADESIVO PADRAO BRACELL"/>
    <s v="-"/>
    <s v="LENCOIS PAULISTA"/>
    <n v="7901"/>
    <n v="371055"/>
    <n v="10792042"/>
    <n v="20"/>
    <s v="UA"/>
    <n v="5"/>
    <n v="100"/>
  </r>
  <r>
    <x v="289"/>
    <x v="65"/>
    <x v="6"/>
    <x v="9"/>
    <x v="2"/>
    <x v="6"/>
    <s v="0200111"/>
    <s v="SERV CONFECCAO DE ADESIVOS"/>
    <s v="ADESIVO DEGRAU TRES PONTOS"/>
    <s v="-"/>
    <s v="LENCOIS PAULISTA"/>
    <n v="7901"/>
    <n v="371075"/>
    <n v="10792042"/>
    <n v="15"/>
    <s v="UA"/>
    <n v="13.5"/>
    <n v="202.5"/>
  </r>
  <r>
    <x v="290"/>
    <x v="65"/>
    <x v="6"/>
    <x v="9"/>
    <x v="2"/>
    <x v="6"/>
    <s v="0200111"/>
    <s v="SERV CONFECCAO DE ADESIVOS"/>
    <s v="ADESIVO FROTA VINIL"/>
    <s v="-"/>
    <s v="LENCOIS PAULISTA"/>
    <n v="7901"/>
    <n v="371075"/>
    <n v="10792042"/>
    <n v="2"/>
    <s v="UA"/>
    <n v="14"/>
    <n v="28"/>
  </r>
  <r>
    <x v="291"/>
    <x v="65"/>
    <x v="6"/>
    <x v="9"/>
    <x v="2"/>
    <x v="6"/>
    <s v="0200111"/>
    <s v="SERV CONFECCAO DE ADESIVOS"/>
    <s v="ADESIVO ADEVERTENCIA"/>
    <s v="-"/>
    <s v="LENCOIS PAULISTA"/>
    <n v="7901"/>
    <n v="371075"/>
    <n v="10792042"/>
    <n v="10"/>
    <s v="UA"/>
    <n v="13.9"/>
    <n v="139"/>
  </r>
  <r>
    <x v="292"/>
    <x v="60"/>
    <x v="6"/>
    <x v="2"/>
    <x v="2"/>
    <x v="1"/>
    <n v="1000238"/>
    <s v="SERV DESP PEDAGIO"/>
    <s v="PEDAGIO FRETE  FAZ. SANTA ROSA II PARA FAZ. SÃO JOÃO V"/>
    <s v="-"/>
    <s v="LENCOIS PAULISTA"/>
    <n v="7901"/>
    <n v="371075"/>
    <n v="10799376"/>
    <n v="1"/>
    <s v="UA"/>
    <n v="184.8"/>
    <n v="184.8"/>
  </r>
  <r>
    <x v="293"/>
    <x v="60"/>
    <x v="6"/>
    <x v="0"/>
    <x v="2"/>
    <x v="1"/>
    <n v="1000287"/>
    <s v="SERV FRETE CAMINHAO PRANCHA AGRIC"/>
    <s v="FRETE  FAZ. SANTA ROSA II PARA FAZ. SÃO JOÃO V"/>
    <n v="4068"/>
    <s v="PRESIDENTE ALVES"/>
    <s v="0227"/>
    <n v="371075"/>
    <n v="10799376"/>
    <n v="250"/>
    <s v="KM"/>
    <n v="12.28"/>
    <n v="3070"/>
  </r>
  <r>
    <x v="294"/>
    <x v="66"/>
    <x v="6"/>
    <x v="2"/>
    <x v="5"/>
    <x v="1"/>
    <n v="1000238"/>
    <s v="SERV DESP PEDAGIO"/>
    <s v="PEDAGIO FRETE  FAZ. IPIRANGA III  PARA FAZ. QUERENCIA IV"/>
    <s v="-"/>
    <s v="LENCOIS PAULISTA"/>
    <n v="7901"/>
    <n v="371045"/>
    <n v="10799376"/>
    <n v="1"/>
    <s v="UA"/>
    <n v="179.2"/>
    <n v="179.2"/>
  </r>
  <r>
    <x v="295"/>
    <x v="66"/>
    <x v="6"/>
    <x v="0"/>
    <x v="5"/>
    <x v="1"/>
    <n v="1000287"/>
    <s v="SERV FRETE CAMINHAO PRANCHA AGRIC"/>
    <s v="FRETE  FAZ. IPIRANGA III  PARA FAZ. QUERENCIA IV"/>
    <n v="4002"/>
    <s v="AGUDOS"/>
    <s v="2075"/>
    <n v="371045"/>
    <n v="10799376"/>
    <n v="250"/>
    <s v="KM"/>
    <n v="12.28"/>
    <n v="3070"/>
  </r>
  <r>
    <x v="296"/>
    <x v="67"/>
    <x v="6"/>
    <x v="2"/>
    <x v="4"/>
    <x v="1"/>
    <n v="1000238"/>
    <s v="SERV DESP PEDAGIO"/>
    <s v="PEDAGIO FRETE FAZ. FLECHA AZUL PARA FAZ. MACEDONIA"/>
    <s v="-"/>
    <s v="LENCOIS PAULISTA"/>
    <n v="7901"/>
    <n v="371065"/>
    <n v="10799376"/>
    <n v="1"/>
    <s v="UA"/>
    <n v="358.59"/>
    <n v="358.59"/>
  </r>
  <r>
    <x v="297"/>
    <x v="67"/>
    <x v="6"/>
    <x v="0"/>
    <x v="4"/>
    <x v="1"/>
    <n v="1000287"/>
    <s v="SERV FRETE CAMINHAO PRANCHA AGRIC"/>
    <s v="FRETE FAZ. FLECHA AZUL PARA FAZ. MACEDONIA"/>
    <n v="4048"/>
    <s v="ITATINGA"/>
    <s v="0478"/>
    <n v="371065"/>
    <n v="10799376"/>
    <n v="374"/>
    <s v="KM"/>
    <n v="12.28"/>
    <n v="4592.7199999999993"/>
  </r>
  <r>
    <x v="298"/>
    <x v="63"/>
    <x v="6"/>
    <x v="2"/>
    <x v="3"/>
    <x v="0"/>
    <n v="1000238"/>
    <s v="SERV DESP PEDAGIO"/>
    <s v="PEDAGIO FRETE FAZ. CARRETAO I X LENÇOIS PTA"/>
    <s v="-"/>
    <s v="LENCOIS PAULISTA"/>
    <s v="0236"/>
    <n v="371055"/>
    <n v="10798920"/>
    <n v="1"/>
    <s v="UA"/>
    <n v="236.6"/>
    <n v="236.6"/>
  </r>
  <r>
    <x v="299"/>
    <x v="63"/>
    <x v="6"/>
    <x v="0"/>
    <x v="3"/>
    <x v="0"/>
    <n v="1000287"/>
    <s v="SERV FRETE CAMINHAO PRANCHA AGRIC"/>
    <s v="FRETE  FAZ. CARRETAO I X LENÇOIS PTA"/>
    <n v="4071"/>
    <s v="SANTA CRUZ DO RIO PARDO"/>
    <n v="7901"/>
    <n v="371055"/>
    <n v="10798920"/>
    <n v="222.7"/>
    <s v="KM"/>
    <n v="13.69"/>
    <n v="3048.7629999999999"/>
  </r>
  <r>
    <x v="300"/>
    <x v="68"/>
    <x v="5"/>
    <x v="2"/>
    <x v="3"/>
    <x v="0"/>
    <n v="1000238"/>
    <s v="SERV DESP PEDAGIO"/>
    <s v="PEDAGIO FRETE FAZ. ALVORADA X FAZ. CARRETÃO"/>
    <s v="-"/>
    <s v="LENCOIS PAULISTA"/>
    <s v="0236"/>
    <n v="371055"/>
    <n v="10798920"/>
    <n v="1"/>
    <s v="UA"/>
    <n v="997"/>
    <n v="997"/>
  </r>
  <r>
    <x v="301"/>
    <x v="68"/>
    <x v="5"/>
    <x v="0"/>
    <x v="3"/>
    <x v="0"/>
    <n v="1000287"/>
    <s v="SERV FRETE CAMINHAO PRANCHA AGRIC"/>
    <s v="FRETE  FAZ. ALVORADA X FAZ. CARRETÃO"/>
    <n v="4071"/>
    <s v="SANTA CRUZ DO RIO PARDO"/>
    <n v="7901"/>
    <n v="371055"/>
    <n v="10798920"/>
    <n v="697"/>
    <s v="KM"/>
    <n v="13.69"/>
    <n v="9541.93"/>
  </r>
  <r>
    <x v="302"/>
    <x v="69"/>
    <x v="7"/>
    <x v="2"/>
    <x v="2"/>
    <x v="1"/>
    <n v="1000238"/>
    <s v="SERV DESP PEDAGIO"/>
    <s v="PEDAGIO FRETE  FAZ. SANTA HELENA  PARA FAZ. SANTA ELISA"/>
    <m/>
    <s v="LENCOIS PAULISTA"/>
    <n v="7901"/>
    <n v="371075"/>
    <m/>
    <n v="1"/>
    <s v="UA"/>
    <n v="61.6"/>
    <n v="61.6"/>
  </r>
  <r>
    <x v="303"/>
    <x v="69"/>
    <x v="7"/>
    <x v="0"/>
    <x v="2"/>
    <x v="1"/>
    <n v="1000287"/>
    <s v="SERV FRETE CAMINHAO PRANCHA AGRIC"/>
    <s v="FRETE  FAZ. SANTA HELENA  PARA FAZ. SANTA ELISA"/>
    <n v="4016"/>
    <s v="BOREBI"/>
    <m/>
    <n v="371075"/>
    <m/>
    <n v="110"/>
    <s v="KM"/>
    <n v="12.28"/>
    <n v="1350.8"/>
  </r>
  <r>
    <x v="304"/>
    <x v="69"/>
    <x v="7"/>
    <x v="2"/>
    <x v="2"/>
    <x v="1"/>
    <n v="1000238"/>
    <s v="SERV DESP PEDAGIO"/>
    <s v="PEDAGIO FRETE  FAZ. BOA VISTA III  PARA  FAZ. FLECHA AZUL"/>
    <m/>
    <s v="LENCOIS PAULISTA"/>
    <n v="7901"/>
    <n v="371075"/>
    <m/>
    <n v="1"/>
    <s v="UA"/>
    <n v="307.04000000000002"/>
    <n v="307.04000000000002"/>
  </r>
  <r>
    <x v="305"/>
    <x v="69"/>
    <x v="7"/>
    <x v="0"/>
    <x v="2"/>
    <x v="1"/>
    <n v="1000287"/>
    <s v="SERV FRETE CAMINHAO PRANCHA AGRIC"/>
    <s v="FRETE  FAZ. BOA VISTA III   PARA  FAZ. FLECHA AZUL"/>
    <n v="4106"/>
    <s v="BOA ESPERANCA DO SUL"/>
    <m/>
    <n v="371075"/>
    <m/>
    <n v="430"/>
    <s v="KM"/>
    <n v="12.28"/>
    <n v="5280.4"/>
  </r>
  <r>
    <x v="306"/>
    <x v="70"/>
    <x v="7"/>
    <x v="2"/>
    <x v="2"/>
    <x v="1"/>
    <n v="1000238"/>
    <s v="SERV DESP PEDAGIO"/>
    <s v="PEDAGIO FRETE  FAZ. FLECHA AZUL  PARA  FAZ. BOA VISTA III"/>
    <m/>
    <s v="LENCOIS PAULISTA"/>
    <n v="7901"/>
    <n v="371075"/>
    <m/>
    <n v="1"/>
    <s v="UA"/>
    <n v="496.58"/>
    <n v="496.58"/>
  </r>
  <r>
    <x v="307"/>
    <x v="70"/>
    <x v="7"/>
    <x v="0"/>
    <x v="2"/>
    <x v="1"/>
    <n v="1000287"/>
    <s v="SERV FRETE CAMINHAO PRANCHA AGRIC"/>
    <s v="FRETE  FAZ. FLECHA AZUL PARA FAZ. BOA VISTA III"/>
    <n v="4023"/>
    <s v="CAFELANDIA"/>
    <m/>
    <n v="371075"/>
    <m/>
    <n v="495"/>
    <s v="KM"/>
    <n v="12.28"/>
    <n v="6078.5999999999995"/>
  </r>
  <r>
    <x v="308"/>
    <x v="70"/>
    <x v="7"/>
    <x v="2"/>
    <x v="2"/>
    <x v="1"/>
    <n v="1000238"/>
    <s v="SERV DESP PEDAGIO"/>
    <s v="PEDAGIO FRETE  FAZ. SANTA ELISA  PARA FAZ. SANTA RITA III"/>
    <m/>
    <s v="LENCOIS PAULISTA"/>
    <n v="7901"/>
    <n v="371075"/>
    <m/>
    <n v="1"/>
    <s v="UA"/>
    <n v="114.85"/>
    <n v="114.85"/>
  </r>
  <r>
    <x v="309"/>
    <x v="70"/>
    <x v="7"/>
    <x v="0"/>
    <x v="2"/>
    <x v="1"/>
    <n v="1000287"/>
    <s v="SERV FRETE CAMINHAO PRANCHA AGRIC"/>
    <s v="FRETE  FAZ. SANTA ELISA  PARA FAZ. SANTA RITA III"/>
    <n v="4032"/>
    <s v="GALIA"/>
    <m/>
    <n v="371075"/>
    <m/>
    <n v="285"/>
    <s v="KM"/>
    <n v="12.28"/>
    <n v="3499.7999999999997"/>
  </r>
  <r>
    <x v="310"/>
    <x v="71"/>
    <x v="7"/>
    <x v="2"/>
    <x v="2"/>
    <x v="1"/>
    <n v="1000238"/>
    <s v="SERV DESP PEDAGIO"/>
    <s v="PEDAGIO FRETE  FAZ. SANTA ELISA  PARA FAZ. SANTA RITA III"/>
    <m/>
    <s v="LENCOIS PAULISTA"/>
    <n v="7901"/>
    <n v="371075"/>
    <m/>
    <n v="1"/>
    <s v="UA"/>
    <n v="166.91"/>
    <n v="166.91"/>
  </r>
  <r>
    <x v="311"/>
    <x v="71"/>
    <x v="7"/>
    <x v="0"/>
    <x v="2"/>
    <x v="1"/>
    <n v="1000287"/>
    <s v="SERV FRETE CAMINHAO PRANCHA AGRIC"/>
    <s v="FRETE  FAZ. SANTA ELISA  PARA FAZ. SANTA RITA III"/>
    <n v="4032"/>
    <s v="GALIA"/>
    <m/>
    <n v="371075"/>
    <m/>
    <n v="283"/>
    <s v="KM"/>
    <n v="12.28"/>
    <n v="3475.24"/>
  </r>
  <r>
    <x v="312"/>
    <x v="72"/>
    <x v="7"/>
    <x v="2"/>
    <x v="4"/>
    <x v="1"/>
    <n v="1000238"/>
    <s v="SERV DESP PEDAGIO"/>
    <s v="PEDAGIO FRETE FAZ. FLECHA AZUL PARA FAZ. MACEDONIA "/>
    <m/>
    <s v="LENCOIS PAULISTA"/>
    <n v="7901"/>
    <n v="371065"/>
    <m/>
    <n v="1"/>
    <s v="UA"/>
    <n v="358.59"/>
    <n v="358.59"/>
  </r>
  <r>
    <x v="313"/>
    <x v="72"/>
    <x v="7"/>
    <x v="0"/>
    <x v="4"/>
    <x v="1"/>
    <n v="1000287"/>
    <s v="SERV FRETE CAMINHAO PRANCHA AGRIC"/>
    <s v="FRETE  FAZ. FLECHA AZUL PARA FAZ. MACEDONIA"/>
    <n v="4048"/>
    <s v="ITATINGA"/>
    <m/>
    <n v="371065"/>
    <m/>
    <n v="374"/>
    <s v="KM"/>
    <n v="12.28"/>
    <n v="4592.7199999999993"/>
  </r>
  <r>
    <x v="314"/>
    <x v="72"/>
    <x v="7"/>
    <x v="2"/>
    <x v="4"/>
    <x v="1"/>
    <n v="1000238"/>
    <s v="SERV DESP PEDAGIO"/>
    <s v="PEDAGIO FRETE FAZ. FLECHA AZUL PARA FAZ. MACEDONIA "/>
    <m/>
    <s v="LENCOIS PAULISTA"/>
    <n v="7901"/>
    <n v="371065"/>
    <m/>
    <n v="1"/>
    <s v="UA"/>
    <n v="358.59"/>
    <n v="358.59"/>
  </r>
  <r>
    <x v="315"/>
    <x v="72"/>
    <x v="7"/>
    <x v="0"/>
    <x v="4"/>
    <x v="1"/>
    <n v="1000287"/>
    <s v="SERV FRETE CAMINHAO PRANCHA AGRIC"/>
    <s v="FRETE  FAZ. FLECHA AZUL PARA FAZ. MACEDONIA"/>
    <n v="4048"/>
    <s v="ITATINGA"/>
    <m/>
    <n v="371065"/>
    <m/>
    <n v="357"/>
    <s v="KM"/>
    <n v="12.28"/>
    <n v="4383.96"/>
  </r>
  <r>
    <x v="316"/>
    <x v="73"/>
    <x v="7"/>
    <x v="2"/>
    <x v="8"/>
    <x v="1"/>
    <n v="1000238"/>
    <s v="SERV DESP PEDAGIO"/>
    <s v="PEDAGIO FRETE TERRA TRATORES   PARA  FAZ. CACHOEIRA DOS INDIOS"/>
    <m/>
    <s v="LENCOIS PAULISTA"/>
    <n v="7901"/>
    <n v="371065"/>
    <m/>
    <n v="1"/>
    <s v="UA"/>
    <n v="572.67999999999995"/>
    <n v="572.67999999999995"/>
  </r>
  <r>
    <x v="317"/>
    <x v="73"/>
    <x v="7"/>
    <x v="0"/>
    <x v="8"/>
    <x v="1"/>
    <n v="1000287"/>
    <s v="SERV FRETE CAMINHAO PRANCHA AGRIC"/>
    <s v="FRETE  TERRA TRATORES  PARA  FAZ. CACHOEIRA DOS INDIOS"/>
    <n v="4035"/>
    <s v="GETULINA"/>
    <m/>
    <n v="371065"/>
    <m/>
    <n v="537"/>
    <s v="KM"/>
    <n v="12.28"/>
    <n v="6594.36"/>
  </r>
  <r>
    <x v="318"/>
    <x v="74"/>
    <x v="5"/>
    <x v="2"/>
    <x v="2"/>
    <x v="1"/>
    <n v="1000238"/>
    <s v="SERV DESP PEDAGIO"/>
    <s v="PEDAGIO FRETE  FAZ. NOSSA SRA DE GUADALUPE PARA  FAZ. LIBERDADE III"/>
    <m/>
    <s v="LENCOIS PAULISTA"/>
    <n v="7901"/>
    <n v="371075"/>
    <s v="-"/>
    <n v="1"/>
    <s v="UA"/>
    <n v="188.9"/>
    <n v="188.9"/>
  </r>
  <r>
    <x v="319"/>
    <x v="74"/>
    <x v="5"/>
    <x v="0"/>
    <x v="2"/>
    <x v="1"/>
    <n v="1000287"/>
    <s v="SERV FRETE CAMINHAO PRANCHA AGRIC"/>
    <s v="FRETE  FAZ. NOSSA SRA DE GUADALUPE PARA  FAZ. LIBERDADE III"/>
    <n v="4068"/>
    <s v="PRESIDENTE ALVES"/>
    <m/>
    <n v="371075"/>
    <s v="-"/>
    <n v="334"/>
    <s v="KM"/>
    <n v="12.28"/>
    <n v="4101.5199999999995"/>
  </r>
  <r>
    <x v="320"/>
    <x v="72"/>
    <x v="7"/>
    <x v="2"/>
    <x v="4"/>
    <x v="0"/>
    <n v="1000238"/>
    <s v="SERV DESP PEDAGIO"/>
    <s v="FRETE  FAZ. BREJO AZUL   X  FAZ. MACEDONIA"/>
    <m/>
    <s v="LENCOIS PAULISTA"/>
    <n v="7901"/>
    <n v="371065"/>
    <m/>
    <n v="1"/>
    <s v="UA"/>
    <n v="492"/>
    <n v="492"/>
  </r>
  <r>
    <x v="321"/>
    <x v="72"/>
    <x v="7"/>
    <x v="0"/>
    <x v="4"/>
    <x v="0"/>
    <n v="1000287"/>
    <s v="SERV FRETE CAMINHAO PRANCHA AGRIC"/>
    <s v="PEDAGIO FRETE   FAZ. BREJO AZUL X  FAZ. MACEDONIA"/>
    <m/>
    <s v="LENCOIS PAULISTA"/>
    <n v="7901"/>
    <n v="371065"/>
    <m/>
    <n v="405.4"/>
    <s v="KM"/>
    <n v="13.69"/>
    <n v="5549.9259999999995"/>
  </r>
  <r>
    <x v="322"/>
    <x v="69"/>
    <x v="5"/>
    <x v="2"/>
    <x v="2"/>
    <x v="1"/>
    <n v="1000238"/>
    <s v="SERV DESP PEDAGIO"/>
    <s v="FRETE  FAZ. SANTA HELENA   X  FAZ. SANTA ELISA"/>
    <n v="4016"/>
    <s v="BOREBI"/>
    <m/>
    <n v="371075"/>
    <m/>
    <n v="1"/>
    <s v="UA"/>
    <n v="61.6"/>
    <n v="61.6"/>
  </r>
  <r>
    <x v="323"/>
    <x v="69"/>
    <x v="5"/>
    <x v="0"/>
    <x v="2"/>
    <x v="1"/>
    <n v="1000287"/>
    <s v="SERV FRETE CAMINHAO PRANCHA AGRIC"/>
    <s v="PEDAGIO FRETE  FAZ. SANTA HELENA   X   FAZ. SANTA ELISA"/>
    <m/>
    <s v="LENCOIS PAULISTA"/>
    <n v="7901"/>
    <n v="371075"/>
    <m/>
    <n v="110"/>
    <s v="KM"/>
    <n v="12.28"/>
    <n v="1350.8"/>
  </r>
  <r>
    <x v="324"/>
    <x v="69"/>
    <x v="5"/>
    <x v="2"/>
    <x v="2"/>
    <x v="1"/>
    <n v="1000238"/>
    <s v="SERV DESP PEDAGIO"/>
    <s v="FRETE  FAZ. BOA VISTA III   X  FAZ. FLECHA AZUL"/>
    <n v="4106"/>
    <s v="BOA ESPERANCA DO SUL"/>
    <m/>
    <n v="371075"/>
    <m/>
    <n v="1"/>
    <s v="UA"/>
    <n v="307.04000000000002"/>
    <n v="307.04000000000002"/>
  </r>
  <r>
    <x v="325"/>
    <x v="69"/>
    <x v="5"/>
    <x v="0"/>
    <x v="2"/>
    <x v="1"/>
    <n v="1000287"/>
    <s v="SERV FRETE CAMINHAO PRANCHA AGRIC"/>
    <s v="PEDAGIO FRETE  FAZ. BOA VISTA III  X  FAZ. FLECHA AZUL"/>
    <m/>
    <s v="LENCOIS PAULISTA"/>
    <n v="7901"/>
    <n v="371075"/>
    <m/>
    <n v="430"/>
    <s v="KM"/>
    <n v="12.28"/>
    <n v="5280.4"/>
  </r>
  <r>
    <x v="326"/>
    <x v="70"/>
    <x v="5"/>
    <x v="2"/>
    <x v="2"/>
    <x v="1"/>
    <n v="1000238"/>
    <s v="SERV DESP PEDAGIO"/>
    <s v="FRETE FAZ. FLECHA AZUL   X  FAZ. BOA VISTA III"/>
    <n v="4023"/>
    <s v="CAFELANDIA"/>
    <m/>
    <n v="371075"/>
    <m/>
    <n v="1"/>
    <s v="UA"/>
    <n v="496.58"/>
    <n v="496.58"/>
  </r>
  <r>
    <x v="327"/>
    <x v="70"/>
    <x v="5"/>
    <x v="0"/>
    <x v="2"/>
    <x v="1"/>
    <n v="1000287"/>
    <s v="SERV FRETE CAMINHAO PRANCHA AGRIC"/>
    <s v="PEDAGIO FRETE  FAZ. FLECHA AZUL   X  FAZ. BOA VISTA III"/>
    <m/>
    <s v="LENCOIS PAULISTA"/>
    <n v="7901"/>
    <n v="371075"/>
    <m/>
    <n v="495"/>
    <s v="KM"/>
    <n v="12.28"/>
    <n v="6078.5999999999995"/>
  </r>
  <r>
    <x v="328"/>
    <x v="70"/>
    <x v="5"/>
    <x v="2"/>
    <x v="2"/>
    <x v="1"/>
    <n v="1000238"/>
    <s v="SERV DESP PEDAGIO"/>
    <s v="FRETE FAZ. FLECHA AZUL   X  FAZ. BOA VISTA III"/>
    <n v="4023"/>
    <s v="CAFELANDIA"/>
    <m/>
    <n v="371075"/>
    <m/>
    <n v="1"/>
    <s v="UA"/>
    <n v="114.85"/>
    <n v="114.85"/>
  </r>
  <r>
    <x v="329"/>
    <x v="70"/>
    <x v="5"/>
    <x v="0"/>
    <x v="2"/>
    <x v="1"/>
    <n v="1000287"/>
    <s v="SERV FRETE CAMINHAO PRANCHA AGRIC"/>
    <s v="PEDAGIO FRETE  FAZ. FLECHA AZUL   X  FAZ. BOA VISTA III"/>
    <m/>
    <s v="LENCOIS PAULISTA"/>
    <n v="7901"/>
    <n v="371075"/>
    <m/>
    <n v="285"/>
    <s v="KM"/>
    <n v="12.28"/>
    <n v="3499.7999999999997"/>
  </r>
  <r>
    <x v="330"/>
    <x v="70"/>
    <x v="5"/>
    <x v="2"/>
    <x v="2"/>
    <x v="1"/>
    <n v="1000238"/>
    <s v="SERV DESP PEDAGIO"/>
    <s v="FRETE FAZ. FLECHA AZUL   X  FAZ. BOA VISTA III"/>
    <n v="4023"/>
    <s v="CAFELANDIA"/>
    <m/>
    <n v="371075"/>
    <m/>
    <n v="1"/>
    <s v="UA"/>
    <n v="166.91"/>
    <n v="166.91"/>
  </r>
  <r>
    <x v="331"/>
    <x v="70"/>
    <x v="5"/>
    <x v="0"/>
    <x v="2"/>
    <x v="1"/>
    <n v="1000287"/>
    <s v="SERV FRETE CAMINHAO PRANCHA AGRIC"/>
    <s v="PEDAGIO FRETE  FAZ. FLECHA AZUL   X  FAZ. BOA VISTA III"/>
    <m/>
    <s v="LENCOIS PAULISTA"/>
    <n v="7901"/>
    <n v="371075"/>
    <m/>
    <n v="283"/>
    <s v="KM"/>
    <n v="12.28"/>
    <n v="3475.24"/>
  </r>
  <r>
    <x v="332"/>
    <x v="75"/>
    <x v="8"/>
    <x v="2"/>
    <x v="3"/>
    <x v="0"/>
    <n v="1000238"/>
    <s v="SERV DESP PEDAGIO"/>
    <s v="PEDAGIO FRETE  FAZ. SANTA HELENA  X  FAZ. ALVORADA VII"/>
    <m/>
    <s v="LENCOIS PAULISTA"/>
    <n v="7901"/>
    <n v="371055"/>
    <m/>
    <n v="1"/>
    <s v="UA"/>
    <n v="2259.4"/>
    <n v="2259.4"/>
  </r>
  <r>
    <x v="333"/>
    <x v="75"/>
    <x v="8"/>
    <x v="0"/>
    <x v="3"/>
    <x v="0"/>
    <n v="1000287"/>
    <s v="SERV FRETE CAMINHAO PRANCHA AGRIC"/>
    <s v="FRETE FAZ. SANTA HELENA   X FAZ. ALVORADA VII"/>
    <n v="7045"/>
    <s v="ITAPETININGA"/>
    <m/>
    <n v="371055"/>
    <m/>
    <n v="1688.1"/>
    <s v="KM"/>
    <n v="13.69"/>
    <n v="23110.088999999996"/>
  </r>
  <r>
    <x v="334"/>
    <x v="53"/>
    <x v="7"/>
    <x v="6"/>
    <x v="8"/>
    <x v="7"/>
    <s v="0000000"/>
    <s v="SERVIÇOS APONTADOS NO SGF"/>
    <s v="APONTAMENTOS REALIZADOS NO SGF POR DIÁRIA DE TRUCK"/>
    <s v="0000"/>
    <s v="-"/>
    <s v="0000"/>
    <n v="371069"/>
    <s v="00000000"/>
    <n v="1"/>
    <s v="UA"/>
    <n v="53119"/>
    <n v="53119"/>
  </r>
  <r>
    <x v="335"/>
    <x v="76"/>
    <x v="8"/>
    <x v="2"/>
    <x v="0"/>
    <x v="1"/>
    <n v="1000238"/>
    <s v="SERV DESP PEDAGIO"/>
    <s v="PEDAGIO FRETE  FAZ. FAZENDA PRIMAVERA II   X  FAZ. BELA VISTA VII"/>
    <m/>
    <s v="LENCOIS PAULISTA"/>
    <n v="7901"/>
    <n v="371094"/>
    <m/>
    <n v="1"/>
    <s v="UA"/>
    <n v="761.4"/>
    <n v="761.4"/>
  </r>
  <r>
    <x v="336"/>
    <x v="76"/>
    <x v="8"/>
    <x v="0"/>
    <x v="0"/>
    <x v="1"/>
    <n v="1000287"/>
    <s v="SERV FRETE CAMINHAO PRANCHA AGRIC"/>
    <s v="FRETE  FAZ. FAZENDA PRIMAVERA II   X FAZ. BELA VISTA VII"/>
    <n v="7063"/>
    <s v="PIRAJUÍ"/>
    <m/>
    <n v="371094"/>
    <m/>
    <n v="1145"/>
    <s v="KM"/>
    <n v="12.28"/>
    <n v="14060.599999999999"/>
  </r>
  <r>
    <x v="337"/>
    <x v="76"/>
    <x v="8"/>
    <x v="7"/>
    <x v="0"/>
    <x v="1"/>
    <s v="0000000"/>
    <s v="SERV DESP SEGURO"/>
    <s v="SEGURO"/>
    <m/>
    <s v="LENCOIS PAULISTA"/>
    <n v="7901"/>
    <n v="371094"/>
    <m/>
    <n v="1"/>
    <s v="UA"/>
    <n v="525"/>
    <n v="525"/>
  </r>
  <r>
    <x v="338"/>
    <x v="76"/>
    <x v="8"/>
    <x v="2"/>
    <x v="0"/>
    <x v="1"/>
    <n v="1000238"/>
    <s v="SERV DESP PEDAGIO"/>
    <s v="PEDAGIO FRETE  FAZ. FAZENDA PRIMAVERA II   X  FAZ. BELA VISTA VII"/>
    <m/>
    <s v="LENCOIS PAULISTA"/>
    <n v="7901"/>
    <n v="371094"/>
    <m/>
    <n v="1"/>
    <s v="UA"/>
    <n v="767.4"/>
    <n v="767.4"/>
  </r>
  <r>
    <x v="339"/>
    <x v="76"/>
    <x v="8"/>
    <x v="0"/>
    <x v="0"/>
    <x v="1"/>
    <n v="1000287"/>
    <s v="SERV FRETE CAMINHAO PRANCHA AGRIC"/>
    <s v="FRETE  FAZ. FAZENDA PRIMAVERA II   X FAZ. BELA VISTA VII"/>
    <n v="7063"/>
    <s v="PIRAJUÍ"/>
    <m/>
    <n v="371094"/>
    <m/>
    <n v="575"/>
    <s v="KM"/>
    <n v="12.28"/>
    <n v="7061"/>
  </r>
  <r>
    <x v="340"/>
    <x v="76"/>
    <x v="8"/>
    <x v="7"/>
    <x v="0"/>
    <x v="1"/>
    <s v="0000000"/>
    <s v="SERV DESP SEGURO"/>
    <s v="SEGURO"/>
    <m/>
    <s v="LENCOIS PAULISTA"/>
    <n v="7901"/>
    <n v="371094"/>
    <m/>
    <n v="1"/>
    <s v="UA"/>
    <n v="455"/>
    <n v="455"/>
  </r>
  <r>
    <x v="341"/>
    <x v="76"/>
    <x v="8"/>
    <x v="2"/>
    <x v="0"/>
    <x v="1"/>
    <n v="1000238"/>
    <s v="SERV DESP PEDAGIO"/>
    <s v="PEDAGIO FRETE  FAZ. FAZENDA PRIMAVERA II   X  FAZ. BELA VISTA VII"/>
    <m/>
    <s v="LENCOIS PAULISTA"/>
    <n v="7901"/>
    <n v="371094"/>
    <m/>
    <n v="1"/>
    <s v="UA"/>
    <n v="0"/>
    <n v="0"/>
  </r>
  <r>
    <x v="342"/>
    <x v="76"/>
    <x v="8"/>
    <x v="0"/>
    <x v="0"/>
    <x v="1"/>
    <n v="1000287"/>
    <s v="SERV FRETE CAMINHAO PRANCHA AGRIC"/>
    <s v="FRETE  FAZ. FAZENDA PRIMAVERA II   X FAZ. BELA VISTA VII"/>
    <n v="7063"/>
    <s v="PIRAJUÍ"/>
    <m/>
    <n v="371094"/>
    <m/>
    <n v="575"/>
    <s v="KM"/>
    <n v="12.28"/>
    <n v="7061"/>
  </r>
  <r>
    <x v="343"/>
    <x v="76"/>
    <x v="8"/>
    <x v="7"/>
    <x v="0"/>
    <x v="1"/>
    <s v="0000000"/>
    <s v="SERV DESP SEGURO"/>
    <s v="SEGURO"/>
    <m/>
    <s v="LENCOIS PAULISTA"/>
    <n v="7901"/>
    <n v="371094"/>
    <m/>
    <n v="1"/>
    <s v="UA"/>
    <n v="455"/>
    <n v="455"/>
  </r>
  <r>
    <x v="344"/>
    <x v="76"/>
    <x v="8"/>
    <x v="2"/>
    <x v="0"/>
    <x v="1"/>
    <n v="1000238"/>
    <s v="SERV DESP PEDAGIO"/>
    <s v="PEDAGIO FRETE  FAZ. FAZENDA PRIMAVERA II   X  FAZ. BELA VISTA VII"/>
    <m/>
    <s v="LENCOIS PAULISTA"/>
    <n v="7901"/>
    <n v="371094"/>
    <m/>
    <n v="1"/>
    <s v="UA"/>
    <n v="834.93"/>
    <n v="834.93"/>
  </r>
  <r>
    <x v="345"/>
    <x v="76"/>
    <x v="8"/>
    <x v="0"/>
    <x v="0"/>
    <x v="1"/>
    <n v="1000287"/>
    <s v="SERV FRETE CAMINHAO PRANCHA AGRIC"/>
    <s v="FRETE  FAZ. FAZENDA PRIMAVERA II   X FAZ. BELA VISTA VII"/>
    <n v="7063"/>
    <s v="PIRAJUÍ"/>
    <m/>
    <n v="371094"/>
    <m/>
    <n v="1161"/>
    <s v="KM"/>
    <n v="12.28"/>
    <n v="14257.08"/>
  </r>
  <r>
    <x v="346"/>
    <x v="76"/>
    <x v="8"/>
    <x v="7"/>
    <x v="0"/>
    <x v="1"/>
    <s v="0000000"/>
    <s v="SERV DESP SEGURO"/>
    <s v="SEGURO"/>
    <m/>
    <s v="LENCOIS PAULISTA"/>
    <n v="7901"/>
    <n v="371094"/>
    <m/>
    <n v="1"/>
    <s v="UA"/>
    <n v="630"/>
    <n v="630"/>
  </r>
  <r>
    <x v="347"/>
    <x v="77"/>
    <x v="7"/>
    <x v="2"/>
    <x v="4"/>
    <x v="5"/>
    <n v="1000238"/>
    <s v="SERV DESP PEDAGIO"/>
    <s v="PEDAGIO FRETE FAZENDA REPRESA G A   X  FAZENDA FLECHA AZUL "/>
    <m/>
    <s v="LENCOIS PAULISTA"/>
    <n v="7901"/>
    <n v="371065"/>
    <m/>
    <n v="1"/>
    <s v="UA"/>
    <n v="674.73"/>
    <n v="674.73"/>
  </r>
  <r>
    <x v="348"/>
    <x v="77"/>
    <x v="7"/>
    <x v="0"/>
    <x v="4"/>
    <x v="5"/>
    <n v="1000287"/>
    <s v="SERV FRETE CAMINHAO PRANCHA AGRIC"/>
    <s v="FRETE  FAZENDA REPRESA G A   X   FAZ.FLECHA AZUL "/>
    <n v="4106"/>
    <s v="BOA ESPERANCA DO SUL"/>
    <m/>
    <n v="371065"/>
    <m/>
    <n v="430"/>
    <s v="KM"/>
    <n v="12.06"/>
    <n v="5185.8"/>
  </r>
  <r>
    <x v="349"/>
    <x v="78"/>
    <x v="7"/>
    <x v="2"/>
    <x v="4"/>
    <x v="5"/>
    <n v="1000238"/>
    <s v="SERV DESP PEDAGIO"/>
    <s v="PEDAGIO FRETE FAZ. FLECHA AZUL X FAZENDA REPRESA G A"/>
    <m/>
    <s v="LENCOIS PAULISTA"/>
    <n v="7901"/>
    <n v="371065"/>
    <m/>
    <n v="1"/>
    <s v="UA"/>
    <n v="843.1"/>
    <n v="843.1"/>
  </r>
  <r>
    <x v="350"/>
    <x v="78"/>
    <x v="7"/>
    <x v="0"/>
    <x v="4"/>
    <x v="5"/>
    <n v="1000287"/>
    <s v="SERV FRETE CAMINHAO PRANCHA AGRIC"/>
    <s v="FRETE   FAZ.FLECHA AZUL X  FAZENDA REPRESA G A"/>
    <n v="4006"/>
    <s v="ANGATUBA"/>
    <m/>
    <n v="371065"/>
    <m/>
    <n v="419"/>
    <s v="KM"/>
    <n v="12.06"/>
    <n v="5053.1400000000003"/>
  </r>
  <r>
    <x v="351"/>
    <x v="78"/>
    <x v="7"/>
    <x v="7"/>
    <x v="4"/>
    <x v="5"/>
    <s v="0000000"/>
    <s v="SERV DESP SEGURO"/>
    <s v="SEGURO"/>
    <m/>
    <s v="LENCOIS PAULISTA"/>
    <n v="7901"/>
    <n v="371065"/>
    <m/>
    <n v="1"/>
    <m/>
    <n v="260"/>
    <n v="260"/>
  </r>
  <r>
    <x v="352"/>
    <x v="79"/>
    <x v="8"/>
    <x v="2"/>
    <x v="3"/>
    <x v="5"/>
    <n v="1000238"/>
    <s v="SERV DESP PEDAGIO"/>
    <s v="PEDAGIO FRETE FAZENDA SAO CRISTOVAO X   FAZENDA BURITIS"/>
    <m/>
    <s v="LENCOIS PAULISTA"/>
    <n v="7901"/>
    <n v="371055"/>
    <m/>
    <n v="1"/>
    <s v="UA"/>
    <n v="445.05999999999995"/>
    <n v="445.05999999999995"/>
  </r>
  <r>
    <x v="353"/>
    <x v="79"/>
    <x v="8"/>
    <x v="0"/>
    <x v="3"/>
    <x v="5"/>
    <n v="1000287"/>
    <s v="SERV FRETE CAMINHAO PRANCHA AGRIC"/>
    <s v="FRETE FRETE FAZENDA SAO CRISTOVAO   X  FAZENDA BURITIS"/>
    <n v="4060"/>
    <s v="PAULISTANIA"/>
    <m/>
    <n v="371055"/>
    <m/>
    <n v="465"/>
    <s v="KM"/>
    <n v="12.06"/>
    <n v="5607.9000000000005"/>
  </r>
  <r>
    <x v="354"/>
    <x v="79"/>
    <x v="8"/>
    <x v="7"/>
    <x v="3"/>
    <x v="5"/>
    <s v="0000000"/>
    <s v="SERV DESP SEGURO"/>
    <s v="SEGURO"/>
    <m/>
    <s v="LENCOIS PAULISTA"/>
    <n v="7901"/>
    <n v="371055"/>
    <m/>
    <n v="1"/>
    <m/>
    <n v="260"/>
    <n v="260"/>
  </r>
  <r>
    <x v="355"/>
    <x v="74"/>
    <x v="7"/>
    <x v="2"/>
    <x v="2"/>
    <x v="1"/>
    <n v="1000238"/>
    <s v="SERV DESP PEDAGIO"/>
    <s v="PEDAGIO FRETE FAZ. NOSSA SRA DE GUADALUPES X   FAZ. LIBERDADE III"/>
    <m/>
    <s v="LENCOIS PAULISTA"/>
    <n v="7901"/>
    <n v="371075"/>
    <m/>
    <n v="1"/>
    <s v="UA"/>
    <n v="188.9"/>
    <n v="188.9"/>
  </r>
  <r>
    <x v="356"/>
    <x v="74"/>
    <x v="7"/>
    <x v="0"/>
    <x v="2"/>
    <x v="1"/>
    <n v="1000287"/>
    <s v="SERV FRETE CAMINHAO PRANCHA AGRIC"/>
    <s v="FRETE FRETE   FAZ. NOSSA SRA DE GUADALUPES  X  FAZ. LIBERDADE III"/>
    <n v="4068"/>
    <s v="PRESIDENTE ALVES"/>
    <m/>
    <n v="371075"/>
    <m/>
    <n v="334"/>
    <s v="KM"/>
    <n v="12.28"/>
    <n v="4101.5199999999995"/>
  </r>
  <r>
    <x v="357"/>
    <x v="80"/>
    <x v="9"/>
    <x v="2"/>
    <x v="0"/>
    <x v="1"/>
    <n v="1000238"/>
    <s v="SERV DESP PEDAGIO"/>
    <s v="PEDAGIO FRETE FAZENDA BELA VISTA VII  X   FAZENDA CONGONHAS II"/>
    <m/>
    <s v="LENCOIS PAULISTA"/>
    <n v="7901"/>
    <n v="371094"/>
    <m/>
    <n v="1"/>
    <s v="UA"/>
    <n v="188.8"/>
    <n v="188.8"/>
  </r>
  <r>
    <x v="358"/>
    <x v="80"/>
    <x v="9"/>
    <x v="0"/>
    <x v="0"/>
    <x v="1"/>
    <n v="1000287"/>
    <s v="SERV FRETE CAMINHAO PRANCHA AGRIC"/>
    <s v="FRETE FRETE FAZENDA BELA VISTA VII   X  FAZENDA CONGONHAS II"/>
    <n v="4029"/>
    <s v="DUARTINA"/>
    <m/>
    <n v="371094"/>
    <m/>
    <n v="224"/>
    <s v="KM"/>
    <n v="12.28"/>
    <n v="2750.72"/>
  </r>
  <r>
    <x v="359"/>
    <x v="80"/>
    <x v="9"/>
    <x v="2"/>
    <x v="0"/>
    <x v="1"/>
    <n v="1000238"/>
    <s v="SERV DESP PEDAGIO"/>
    <s v="PEDAGIO FRETE FAZENDA BELA VISTA VII  X   FAZENDA CONGONHAS II"/>
    <m/>
    <s v="LENCOIS PAULISTA"/>
    <n v="7901"/>
    <n v="371094"/>
    <m/>
    <n v="1"/>
    <s v="UA"/>
    <n v="86.1"/>
    <n v="86.1"/>
  </r>
  <r>
    <x v="360"/>
    <x v="80"/>
    <x v="9"/>
    <x v="0"/>
    <x v="0"/>
    <x v="1"/>
    <n v="1000287"/>
    <s v="SERV FRETE CAMINHAO PRANCHA AGRIC"/>
    <s v="FRETE FRETE FAZENDA BELA VISTA VII   X  FAZENDA CONGONHAS II"/>
    <n v="4029"/>
    <s v="DUARTINA"/>
    <m/>
    <n v="371094"/>
    <m/>
    <n v="268"/>
    <s v="KM"/>
    <n v="12.28"/>
    <n v="3291.04"/>
  </r>
  <r>
    <x v="361"/>
    <x v="81"/>
    <x v="8"/>
    <x v="2"/>
    <x v="4"/>
    <x v="1"/>
    <n v="1000238"/>
    <s v="SERV DESP PEDAGIO"/>
    <s v="PEDAGIO FRETE  FAZENDA MENDES UNIÃO   X   FAZ. FLECHA AZUL - BOA ESPERANÇA DO SUL"/>
    <m/>
    <s v="LENCOIS PAULISTA"/>
    <n v="7901"/>
    <n v="371065"/>
    <m/>
    <n v="1"/>
    <s v="UA"/>
    <n v="449.32"/>
    <n v="449.32"/>
  </r>
  <r>
    <x v="362"/>
    <x v="81"/>
    <x v="8"/>
    <x v="0"/>
    <x v="4"/>
    <x v="1"/>
    <n v="1000287"/>
    <s v="SERV FRETE CAMINHAO PRANCHA AGRIC"/>
    <s v="FRETE FRETE FAZENDA MENDES UNIÃO  X  FAZ. FLECHA AZUL - BOA ESPERANÇA DO SUL"/>
    <n v="4106"/>
    <s v="BOA ESPERANCA DO SUL"/>
    <m/>
    <n v="371065"/>
    <m/>
    <n v="497"/>
    <s v="KM"/>
    <n v="12.28"/>
    <n v="6103.16"/>
  </r>
  <r>
    <x v="363"/>
    <x v="76"/>
    <x v="8"/>
    <x v="2"/>
    <x v="4"/>
    <x v="1"/>
    <n v="1000238"/>
    <s v="SERV DESP PEDAGIO"/>
    <s v="PEDAGIO FRETE  FAZ. ÁGUA FRIA - ANGATUBA   X   FAZ. FLECHA AZUL - BOA ESPERANÇA DO SUL"/>
    <m/>
    <s v="LENCOIS PAULISTA"/>
    <n v="7901"/>
    <n v="371094"/>
    <m/>
    <n v="1"/>
    <s v="UA"/>
    <n v="447.32"/>
    <n v="447.32"/>
  </r>
  <r>
    <x v="364"/>
    <x v="76"/>
    <x v="8"/>
    <x v="0"/>
    <x v="4"/>
    <x v="1"/>
    <n v="1000287"/>
    <s v="SERV FRETE CAMINHAO PRANCHA AGRIC"/>
    <s v="FRETE FRETE FAZ. ÁGUA FRIA - ANGATUBA   X  FAZ. FLECHA AZUL - BOA ESPERANÇA DO SUL"/>
    <n v="4106"/>
    <s v="BOA ESPERANCA DO SUL"/>
    <m/>
    <n v="371094"/>
    <m/>
    <n v="438"/>
    <s v="KM"/>
    <n v="12.28"/>
    <n v="5378.6399999999994"/>
  </r>
  <r>
    <x v="365"/>
    <x v="82"/>
    <x v="9"/>
    <x v="2"/>
    <x v="0"/>
    <x v="1"/>
    <n v="1000238"/>
    <s v="SERV DESP PEDAGIO"/>
    <s v="PEDAGIO FRETE FAZENDA BELA VISTA VII   X   FAZENDA CONGONHAS II"/>
    <m/>
    <s v="LENCOIS PAULISTA"/>
    <n v="7901"/>
    <n v="371094"/>
    <m/>
    <n v="1"/>
    <s v="UA"/>
    <n v="181.65"/>
    <n v="181.65"/>
  </r>
  <r>
    <x v="366"/>
    <x v="82"/>
    <x v="9"/>
    <x v="0"/>
    <x v="0"/>
    <x v="1"/>
    <n v="1000287"/>
    <s v="SERV FRETE CAMINHAO PRANCHA AGRIC"/>
    <s v="FRETE FRETE  FAZENDA BELA VISTA VII  X  FAZENDA CONGONHAS II"/>
    <n v="4029"/>
    <s v="DUARTINA"/>
    <m/>
    <n v="371094"/>
    <m/>
    <n v="274"/>
    <s v="KM"/>
    <n v="12.28"/>
    <n v="3364.72"/>
  </r>
  <r>
    <x v="367"/>
    <x v="82"/>
    <x v="9"/>
    <x v="2"/>
    <x v="0"/>
    <x v="1"/>
    <n v="1000287"/>
    <s v="SERV DESP PEDAGIO"/>
    <s v="PEDAGIO FRETE FAZENDA BELA VISTA VII   X   FAZENDA CONGONHAS II"/>
    <m/>
    <s v="LENCOIS PAULISTA"/>
    <n v="7901"/>
    <n v="371094"/>
    <m/>
    <n v="1"/>
    <s v="UA"/>
    <n v="146.84"/>
    <n v="146.84"/>
  </r>
  <r>
    <x v="368"/>
    <x v="82"/>
    <x v="9"/>
    <x v="0"/>
    <x v="0"/>
    <x v="1"/>
    <n v="1000287"/>
    <s v="SERV FRETE CAMINHAO PRANCHA AGRIC"/>
    <s v="FRETE FRETE  FAZENDA BELA VISTA VII  X  FAZENDA CONGONHAS II"/>
    <n v="4029"/>
    <s v="DUARTINA"/>
    <m/>
    <n v="371094"/>
    <m/>
    <n v="273"/>
    <s v="KM"/>
    <n v="12.28"/>
    <n v="3352.4399999999996"/>
  </r>
  <r>
    <x v="369"/>
    <x v="83"/>
    <x v="9"/>
    <x v="2"/>
    <x v="5"/>
    <x v="1"/>
    <n v="1000238"/>
    <s v="SERV DESP PEDAGIO"/>
    <s v="PEDAGIO FRETE FAZENDA FLECHA AZUL X   FAZENDA TURVNHO I"/>
    <m/>
    <s v="LENCOIS PAULISTA"/>
    <n v="7901"/>
    <n v="371045"/>
    <m/>
    <n v="1"/>
    <s v="UA"/>
    <n v="290.75"/>
    <n v="290.75"/>
  </r>
  <r>
    <x v="370"/>
    <x v="83"/>
    <x v="9"/>
    <x v="0"/>
    <x v="5"/>
    <x v="1"/>
    <n v="1000287"/>
    <s v="SERV FRETE CAMINHAO PRANCHA AGRIC"/>
    <s v="FRETE FRETE  FAZENDA FLECHA AZUL  X  FAZENDA TURVNHO I"/>
    <n v="4016"/>
    <s v="BOREBI"/>
    <m/>
    <n v="371045"/>
    <m/>
    <n v="366"/>
    <s v="KM"/>
    <n v="12.28"/>
    <n v="4494.4799999999996"/>
  </r>
  <r>
    <x v="371"/>
    <x v="83"/>
    <x v="9"/>
    <x v="2"/>
    <x v="4"/>
    <x v="1"/>
    <n v="1000238"/>
    <s v="SERV DESP PEDAGIO"/>
    <s v="PEDAGIO FRETE FAZENDA FLECHA AZUL  X  FAZ. SANTA ROSA"/>
    <m/>
    <s v="LENCOIS PAULISTA"/>
    <n v="7901"/>
    <n v="371065"/>
    <m/>
    <n v="1"/>
    <s v="UA"/>
    <n v="749.69"/>
    <n v="749.69"/>
  </r>
  <r>
    <x v="372"/>
    <x v="83"/>
    <x v="9"/>
    <x v="0"/>
    <x v="4"/>
    <x v="1"/>
    <n v="1000287"/>
    <s v="SERV FRETE CAMINHAO PRANCHA AGRIC"/>
    <s v="FRETE FRETE  FAZENDA FLECHA AZUL  X  FAZ. SANTA ROSA"/>
    <n v="4070"/>
    <s v="REGINOPOLIS"/>
    <m/>
    <n v="371065"/>
    <m/>
    <n v="687"/>
    <s v="KM"/>
    <n v="12.28"/>
    <n v="8436.3599999999988"/>
  </r>
  <r>
    <x v="373"/>
    <x v="83"/>
    <x v="9"/>
    <x v="2"/>
    <x v="4"/>
    <x v="1"/>
    <n v="1000238"/>
    <s v="SERV DESP PEDAGIO"/>
    <s v="PEDAGIO FRETE FAZENDA FLECHA AZUL  X  FAZ. SANTA ROSA"/>
    <m/>
    <s v="LENCOIS PAULISTA"/>
    <n v="7901"/>
    <n v="371065"/>
    <m/>
    <n v="1"/>
    <s v="UA"/>
    <n v="1050.29"/>
    <n v="1050.29"/>
  </r>
  <r>
    <x v="374"/>
    <x v="83"/>
    <x v="9"/>
    <x v="0"/>
    <x v="4"/>
    <x v="1"/>
    <n v="1000287"/>
    <s v="SERV FRETE CAMINHAO PRANCHA AGRIC"/>
    <s v="FRETE FRETE  FAZENDA FLECHA AZUL  X  FAZ. SANTA ROSA"/>
    <n v="4070"/>
    <s v="REGINOPOLIS"/>
    <m/>
    <n v="371065"/>
    <m/>
    <n v="827"/>
    <s v="KM"/>
    <n v="12.28"/>
    <n v="10155.56"/>
  </r>
  <r>
    <x v="375"/>
    <x v="83"/>
    <x v="9"/>
    <x v="2"/>
    <x v="4"/>
    <x v="1"/>
    <n v="1000238"/>
    <s v="SERV DESP PEDAGIO"/>
    <s v="PEDAGIO FRETE FAZENDA FLECHA AZUL  X  FAZ. SANTA ROSA"/>
    <m/>
    <s v="LENCOIS PAULISTA"/>
    <n v="7901"/>
    <n v="371065"/>
    <m/>
    <n v="1"/>
    <s v="UA"/>
    <n v="877.08"/>
    <n v="877.08"/>
  </r>
  <r>
    <x v="376"/>
    <x v="83"/>
    <x v="9"/>
    <x v="0"/>
    <x v="4"/>
    <x v="1"/>
    <n v="1000287"/>
    <s v="SERV FRETE CAMINHAO PRANCHA AGRIC"/>
    <s v="FRETE FRETE  FAZENDA FLECHA AZUL  X  FAZ. SANTA ROSA"/>
    <n v="4070"/>
    <s v="REGINOPOLIS"/>
    <m/>
    <n v="371065"/>
    <m/>
    <n v="808"/>
    <s v="KM"/>
    <n v="12.28"/>
    <n v="9922.24"/>
  </r>
  <r>
    <x v="377"/>
    <x v="84"/>
    <x v="9"/>
    <x v="2"/>
    <x v="5"/>
    <x v="1"/>
    <n v="1000238"/>
    <s v="SERV DESP PEDAGIO"/>
    <s v="PEDAGIO FRETE OFICINA MS X   CAT - LENÇÓIS PAULISTA"/>
    <m/>
    <s v="LENCOIS PAULISTA"/>
    <n v="7901"/>
    <n v="371045"/>
    <m/>
    <n v="1"/>
    <s v="UA"/>
    <n v="926.03"/>
    <n v="926.03"/>
  </r>
  <r>
    <x v="378"/>
    <x v="84"/>
    <x v="9"/>
    <x v="0"/>
    <x v="5"/>
    <x v="1"/>
    <n v="1000287"/>
    <s v="SERV FRETE CAMINHAO PRANCHA AGRIC"/>
    <s v="FRETE FRETE OFICINA MS  X  CAT - LENÇÓIS PAULISTA"/>
    <m/>
    <s v="LENCOIS PAULISTA"/>
    <n v="7901"/>
    <n v="371045"/>
    <m/>
    <n v="836"/>
    <s v="KM"/>
    <n v="12.28"/>
    <n v="10266.08"/>
  </r>
  <r>
    <x v="379"/>
    <x v="84"/>
    <x v="9"/>
    <x v="7"/>
    <x v="5"/>
    <x v="1"/>
    <n v="1000238"/>
    <s v="SERV DESP SEGURO"/>
    <s v="SEGURO"/>
    <m/>
    <s v="LENCOIS PAULISTA"/>
    <n v="7901"/>
    <n v="371045"/>
    <m/>
    <n v="1"/>
    <s v="UA"/>
    <n v="1698.11"/>
    <n v="1698.11"/>
  </r>
  <r>
    <x v="380"/>
    <x v="85"/>
    <x v="8"/>
    <x v="2"/>
    <x v="5"/>
    <x v="8"/>
    <n v="1000238"/>
    <s v="SERV DESP PEDAGIO"/>
    <s v="PEDAGIO FRETE POSTO PASARELA  X   FAZ. BELA VISTA 3"/>
    <m/>
    <s v="LENCOIS PAULISTA"/>
    <n v="7901"/>
    <n v="371045"/>
    <m/>
    <n v="1"/>
    <s v="UA"/>
    <n v="643.20000000000005"/>
    <n v="643.20000000000005"/>
  </r>
  <r>
    <x v="381"/>
    <x v="85"/>
    <x v="8"/>
    <x v="0"/>
    <x v="5"/>
    <x v="8"/>
    <n v="1000287"/>
    <s v="SERV FRETE CAMINHAO PRANCHA AGRIC"/>
    <s v="FRETE FRETE POSTO PASARELA  X  FAZ. BELA VISTA 3"/>
    <n v="7068"/>
    <s v="PRESIDENTE ALVES"/>
    <m/>
    <n v="371045"/>
    <m/>
    <n v="921"/>
    <s v="KM"/>
    <n v="12"/>
    <n v="11052"/>
  </r>
  <r>
    <x v="382"/>
    <x v="86"/>
    <x v="8"/>
    <x v="2"/>
    <x v="5"/>
    <x v="8"/>
    <n v="1000238"/>
    <s v="SERV DESP PEDAGIO"/>
    <s v="PEDAGIO FRETE POSTO PASARELA  X   FAZ. BELA VISTA 3"/>
    <m/>
    <s v="LENCOIS PAULISTA"/>
    <n v="7901"/>
    <n v="371045"/>
    <m/>
    <n v="1"/>
    <s v="UA"/>
    <n v="687.6"/>
    <n v="687.6"/>
  </r>
  <r>
    <x v="383"/>
    <x v="86"/>
    <x v="8"/>
    <x v="0"/>
    <x v="5"/>
    <x v="8"/>
    <n v="1000287"/>
    <s v="SERV FRETE CAMINHAO PRANCHA AGRIC"/>
    <s v="FRETE FRETE POSTO PASARELA  X  FAZ. BELA VISTA 3"/>
    <n v="7068"/>
    <s v="PRESIDENTE ALVES"/>
    <m/>
    <n v="371045"/>
    <n v="921"/>
    <n v="921"/>
    <s v="KM"/>
    <n v="12"/>
    <n v="11052"/>
  </r>
  <r>
    <x v="383"/>
    <x v="85"/>
    <x v="8"/>
    <x v="2"/>
    <x v="5"/>
    <x v="8"/>
    <s v="0000000"/>
    <s v="SERV DESP HORAS"/>
    <s v="PEDAGIO FRETE POSTO PASARELA  X   FAZ. BELA VISTA 3"/>
    <m/>
    <s v="LENCOIS PAULISTA"/>
    <n v="7901"/>
    <n v="371045"/>
    <m/>
    <n v="8"/>
    <s v="UA"/>
    <n v="200"/>
    <n v="1600"/>
  </r>
  <r>
    <x v="383"/>
    <x v="85"/>
    <x v="8"/>
    <x v="0"/>
    <x v="5"/>
    <x v="8"/>
    <s v="0000000"/>
    <s v="SERV DESP HORAS"/>
    <s v="FRETE FRETE POSTO PASARELA  X  FAZ. BELA VISTA 3"/>
    <n v="7068"/>
    <s v="PRESIDENTE ALVES"/>
    <m/>
    <n v="371045"/>
    <m/>
    <n v="8"/>
    <s v="UA"/>
    <n v="200"/>
    <n v="1600"/>
  </r>
  <r>
    <x v="384"/>
    <x v="87"/>
    <x v="9"/>
    <x v="2"/>
    <x v="4"/>
    <x v="1"/>
    <n v="1000238"/>
    <s v="SERV DESP PEDAGIO"/>
    <s v="PEDAGIO FRETE  FAZ. SANTA ROSA IV  X  FAZ. SANTO ANTONIO DOS PALMARES"/>
    <m/>
    <s v="LENCOIS PAULISTA"/>
    <n v="7901"/>
    <n v="371065"/>
    <m/>
    <n v="1"/>
    <s v="UA"/>
    <n v="648.83000000000004"/>
    <n v="648.83000000000004"/>
  </r>
  <r>
    <x v="385"/>
    <x v="87"/>
    <x v="9"/>
    <x v="0"/>
    <x v="4"/>
    <x v="1"/>
    <n v="1000287"/>
    <s v="SERV FRETE CAMINHAO PRANCHA AGRIC"/>
    <s v="FRETE FRETE FAZ. SANTA ROSA IV  X  FAZ. SANTO ANTONIO DOS PALMARES"/>
    <n v="7019"/>
    <s v="BOTUCATU"/>
    <m/>
    <n v="371065"/>
    <m/>
    <n v="471"/>
    <s v="KM"/>
    <n v="12.28"/>
    <n v="5783.88"/>
  </r>
  <r>
    <x v="386"/>
    <x v="87"/>
    <x v="9"/>
    <x v="2"/>
    <x v="4"/>
    <x v="1"/>
    <n v="1000238"/>
    <s v="SERV DESP PEDAGIO"/>
    <s v="PEDAGIO FRETE  FAZ. SANTA ROSA IV  X  FAZ. SANTO ANTONIO DOS PALMARES"/>
    <m/>
    <s v="LENCOIS PAULISTA"/>
    <n v="7901"/>
    <n v="371065"/>
    <m/>
    <n v="1"/>
    <s v="UA"/>
    <n v="540.67999999999995"/>
    <n v="540.67999999999995"/>
  </r>
  <r>
    <x v="387"/>
    <x v="87"/>
    <x v="9"/>
    <x v="0"/>
    <x v="4"/>
    <x v="1"/>
    <n v="1000287"/>
    <s v="SERV FRETE CAMINHAO PRANCHA AGRIC"/>
    <s v="FRETE FRETE FAZ. SANTA ROSA IV  X  FAZ. SANTO ANTONIO DOS PALMARES"/>
    <n v="7019"/>
    <s v="BOTUCATU"/>
    <m/>
    <n v="371065"/>
    <m/>
    <n v="460"/>
    <s v="KM"/>
    <n v="12.28"/>
    <n v="5648.7999999999993"/>
  </r>
  <r>
    <x v="388"/>
    <x v="87"/>
    <x v="9"/>
    <x v="2"/>
    <x v="5"/>
    <x v="1"/>
    <n v="1000238"/>
    <s v="SERV DESP PEDAGIO"/>
    <s v="PEDAGIO FRETE FAZ. SANTO ANTONIO DOS PALMARES  X  FAZ. SÃO GERONIMO II"/>
    <m/>
    <s v="LENCOIS PAULISTA"/>
    <n v="7901"/>
    <n v="371045"/>
    <m/>
    <n v="1"/>
    <s v="UA"/>
    <n v="268.43"/>
    <n v="268.43"/>
  </r>
  <r>
    <x v="389"/>
    <x v="87"/>
    <x v="9"/>
    <x v="0"/>
    <x v="5"/>
    <x v="1"/>
    <n v="1000287"/>
    <s v="SERV FRETE CAMINHAO PRANCHA AGRIC"/>
    <s v="FRETE FRETE FAZ. SANTO ANTONIO DOS PALMARES  X  FAZ. SÃO GERONIMO II"/>
    <n v="571"/>
    <s v="ESPIRITO SANTO DO TURVO"/>
    <m/>
    <n v="371045"/>
    <m/>
    <n v="281"/>
    <s v="KM"/>
    <n v="12.28"/>
    <n v="3450.68"/>
  </r>
  <r>
    <x v="390"/>
    <x v="87"/>
    <x v="9"/>
    <x v="2"/>
    <x v="4"/>
    <x v="1"/>
    <n v="1000238"/>
    <s v="SERV DESP PEDAGIO"/>
    <s v="PEDAGIO FRETE  FAZ. SANTA ROSA IV  X  FAZ. SANTO ANTONIO DOS PALMARES"/>
    <m/>
    <s v="LENCOIS PAULISTA"/>
    <n v="7901"/>
    <n v="371065"/>
    <m/>
    <n v="1"/>
    <s v="UA"/>
    <n v="712.48"/>
    <n v="712.48"/>
  </r>
  <r>
    <x v="391"/>
    <x v="87"/>
    <x v="9"/>
    <x v="0"/>
    <x v="4"/>
    <x v="1"/>
    <n v="1000287"/>
    <s v="SERV FRETE CAMINHAO PRANCHA AGRIC"/>
    <s v="FRETE FRETE FAZ. SANTA ROSA IV  X  FAZ. SANTO ANTONIO DOS PALMARES"/>
    <n v="7019"/>
    <s v="BOTUCATU"/>
    <m/>
    <n v="371065"/>
    <m/>
    <n v="612"/>
    <s v="KM"/>
    <n v="12.28"/>
    <n v="7515.36"/>
  </r>
  <r>
    <x v="392"/>
    <x v="88"/>
    <x v="9"/>
    <x v="2"/>
    <x v="4"/>
    <x v="1"/>
    <n v="1000238"/>
    <s v="SERV DESP PEDAGIO"/>
    <s v="PEDAGIO FRETE FAZ. BURITIS  X  PÁTIO BRACELL"/>
    <m/>
    <s v="LENCOIS PAULISTA"/>
    <n v="7901"/>
    <n v="371065"/>
    <m/>
    <n v="1"/>
    <s v="UA"/>
    <n v="202.6"/>
    <n v="202.6"/>
  </r>
  <r>
    <x v="393"/>
    <x v="88"/>
    <x v="10"/>
    <x v="0"/>
    <x v="4"/>
    <x v="1"/>
    <n v="1000287"/>
    <s v="SERV FRETE CAMINHAO PRANCHA AGRIC"/>
    <s v="FRETE FRETE  FAZ. BURITIS X  PÁTIO BRACELL "/>
    <n v="7901"/>
    <s v="LENCOIS PAULISTA"/>
    <m/>
    <n v="371065"/>
    <m/>
    <n v="250"/>
    <s v="KM"/>
    <n v="12.28"/>
    <n v="3070"/>
  </r>
  <r>
    <x v="394"/>
    <x v="88"/>
    <x v="11"/>
    <x v="2"/>
    <x v="4"/>
    <x v="1"/>
    <n v="1000238"/>
    <s v="SERV DESP PEDAGIO"/>
    <s v="PEDAGIO FRETE FAZ. BURITIS  X  PÁTIO BRACELL"/>
    <m/>
    <s v="LENCOIS PAULISTA"/>
    <n v="7901"/>
    <n v="371065"/>
    <m/>
    <n v="1"/>
    <s v="UA"/>
    <n v="212.3"/>
    <n v="212.3"/>
  </r>
  <r>
    <x v="395"/>
    <x v="88"/>
    <x v="12"/>
    <x v="0"/>
    <x v="4"/>
    <x v="1"/>
    <n v="1000287"/>
    <s v="SERV FRETE CAMINHAO PRANCHA AGRIC"/>
    <s v="FRETE FRETE  FAZ. BURITIS X  PÁTIO BRACELL "/>
    <n v="7901"/>
    <s v="LENCOIS PAULISTA"/>
    <m/>
    <n v="371065"/>
    <m/>
    <n v="250"/>
    <s v="KM"/>
    <n v="12.28"/>
    <n v="3070"/>
  </r>
  <r>
    <x v="396"/>
    <x v="88"/>
    <x v="13"/>
    <x v="2"/>
    <x v="4"/>
    <x v="1"/>
    <n v="1000238"/>
    <s v="SERV DESP PEDAGIO"/>
    <s v="PEDAGIO FRETE FAZ. BURITIS  X  PÁTIO BRACELL"/>
    <m/>
    <s v="LENCOIS PAULISTA"/>
    <n v="7901"/>
    <n v="371065"/>
    <m/>
    <n v="1"/>
    <s v="UA"/>
    <n v="202.6"/>
    <n v="202.6"/>
  </r>
  <r>
    <x v="397"/>
    <x v="88"/>
    <x v="14"/>
    <x v="0"/>
    <x v="4"/>
    <x v="1"/>
    <n v="1000287"/>
    <s v="SERV FRETE CAMINHAO PRANCHA AGRIC"/>
    <s v="FRETE FRETE  FAZ. BURITIS X  PÁTIO BRACELL "/>
    <n v="7901"/>
    <s v="LENCOIS PAULISTA"/>
    <m/>
    <n v="371065"/>
    <m/>
    <n v="195"/>
    <s v="KM"/>
    <n v="12.28"/>
    <n v="2394.6"/>
  </r>
  <r>
    <x v="398"/>
    <x v="88"/>
    <x v="13"/>
    <x v="2"/>
    <x v="4"/>
    <x v="1"/>
    <n v="1000238"/>
    <s v="SERV DESP PEDAGIO"/>
    <s v="PEDAGIO FRETE FAZ. SANTO ANTONIO DOS PALMARES  X  FAZ. SANTA ROSA IV"/>
    <m/>
    <s v="LENCOIS PAULISTA"/>
    <n v="7901"/>
    <n v="371065"/>
    <m/>
    <n v="1"/>
    <s v="UA"/>
    <n v="912.23"/>
    <n v="912.23"/>
  </r>
  <r>
    <x v="399"/>
    <x v="88"/>
    <x v="14"/>
    <x v="0"/>
    <x v="4"/>
    <x v="1"/>
    <n v="1000287"/>
    <s v="SERV FRETE CAMINHAO PRANCHA AGRIC"/>
    <s v="FRETE FRETE FAZ. SANTO ANTONIO DOS PALMARES  X FAZ. SANTA ROSA IV"/>
    <n v="7024"/>
    <s v="CAPÃO BONITO"/>
    <m/>
    <n v="371065"/>
    <m/>
    <n v="617"/>
    <s v="KM"/>
    <n v="12.28"/>
    <n v="7576.7599999999993"/>
  </r>
  <r>
    <x v="400"/>
    <x v="88"/>
    <x v="9"/>
    <x v="2"/>
    <x v="4"/>
    <x v="1"/>
    <n v="1000238"/>
    <s v="SERV DESP PEDAGIO"/>
    <s v="PEDAGIO FRETE FAZ. BURITIS  X  PÁTIO BRACELL"/>
    <m/>
    <s v="LENCOIS PAULISTA"/>
    <n v="7901"/>
    <n v="371065"/>
    <m/>
    <n v="1"/>
    <s v="UA"/>
    <n v="158.4"/>
    <n v="158.4"/>
  </r>
  <r>
    <x v="401"/>
    <x v="88"/>
    <x v="10"/>
    <x v="0"/>
    <x v="4"/>
    <x v="1"/>
    <n v="1000287"/>
    <s v="SERV FRETE CAMINHAO PRANCHA AGRIC"/>
    <s v="FRETE FRETE  FAZ. BURITIS X  PÁTIO BRACELL "/>
    <n v="7901"/>
    <s v="LENCOIS PAULISTA"/>
    <m/>
    <n v="371065"/>
    <m/>
    <n v="167"/>
    <s v="KM"/>
    <n v="12.28"/>
    <n v="2050.7599999999998"/>
  </r>
  <r>
    <x v="402"/>
    <x v="88"/>
    <x v="11"/>
    <x v="2"/>
    <x v="4"/>
    <x v="1"/>
    <n v="1000238"/>
    <s v="SERV DESP PEDAGIO"/>
    <s v="PEDAGIO FRETE FAZ. BURITIS  X  PÁTIO BRACELL"/>
    <m/>
    <s v="LENCOIS PAULISTA"/>
    <n v="7901"/>
    <n v="371065"/>
    <m/>
    <n v="1"/>
    <s v="UA"/>
    <n v="118.9"/>
    <n v="118.9"/>
  </r>
  <r>
    <x v="403"/>
    <x v="88"/>
    <x v="12"/>
    <x v="0"/>
    <x v="4"/>
    <x v="1"/>
    <n v="1000287"/>
    <s v="SERV FRETE CAMINHAO PRANCHA AGRIC"/>
    <s v="FRETE FRETE  FAZ. BURITIS X  PÁTIO BRACELL "/>
    <n v="7901"/>
    <s v="LENCOIS PAULISTA"/>
    <m/>
    <n v="371065"/>
    <m/>
    <n v="195"/>
    <s v="KM"/>
    <n v="12.28"/>
    <n v="2394.6"/>
  </r>
  <r>
    <x v="404"/>
    <x v="89"/>
    <x v="9"/>
    <x v="2"/>
    <x v="4"/>
    <x v="1"/>
    <n v="1000238"/>
    <s v="SERV DESP PEDAGIO"/>
    <s v="PEDAGIO FRETE FAZ. SANTO ANTONIO DOS PALMARES  X  FAZ. SANTA ROSA IV"/>
    <m/>
    <s v="LENCOIS PAULISTA"/>
    <n v="7901"/>
    <n v="371065"/>
    <m/>
    <n v="1"/>
    <s v="UA"/>
    <n v="720.68"/>
    <n v="720.68"/>
  </r>
  <r>
    <x v="405"/>
    <x v="89"/>
    <x v="9"/>
    <x v="0"/>
    <x v="4"/>
    <x v="1"/>
    <n v="1000287"/>
    <s v="SERV FRETE CAMINHAO PRANCHA AGRIC"/>
    <s v="FRETE FRETE FAZ. SANTO ANTONIO DOS PALMARES  X FAZ. SANTA ROSA IV"/>
    <n v="7024"/>
    <s v="CAPÃO BONITO"/>
    <m/>
    <n v="371065"/>
    <m/>
    <n v="603"/>
    <s v="KM"/>
    <n v="12.28"/>
    <n v="7404.8399999999992"/>
  </r>
  <r>
    <x v="406"/>
    <x v="89"/>
    <x v="9"/>
    <x v="2"/>
    <x v="4"/>
    <x v="1"/>
    <n v="1000238"/>
    <s v="SERV DESP PEDAGIO"/>
    <s v="PEDAGIO FRETE PÁTIO BRACELL - LENÇÓIS PAULISTA  X  FAZ. FLECHA AZUL"/>
    <m/>
    <s v="LENCOIS PAULISTA"/>
    <n v="7901"/>
    <n v="371065"/>
    <m/>
    <n v="1"/>
    <s v="UA"/>
    <n v="213.46"/>
    <n v="213.46"/>
  </r>
  <r>
    <x v="407"/>
    <x v="89"/>
    <x v="9"/>
    <x v="0"/>
    <x v="4"/>
    <x v="1"/>
    <n v="1000287"/>
    <s v="SERV FRETE CAMINHAO PRANCHA AGRIC"/>
    <s v="FRETE FRETE PÁTIO BRACELL - LENÇÓIS PAULISTA  X FAZ. FLECHA AZUL"/>
    <n v="7106"/>
    <s v="BOA ESPERANÇA DO SUL"/>
    <m/>
    <n v="371065"/>
    <m/>
    <n v="250"/>
    <s v="KM"/>
    <n v="12.28"/>
    <n v="3070"/>
  </r>
  <r>
    <x v="408"/>
    <x v="89"/>
    <x v="9"/>
    <x v="2"/>
    <x v="4"/>
    <x v="1"/>
    <n v="1000238"/>
    <s v="SERV DESP PEDAGIO"/>
    <s v="PEDAGIO FRETE FAZ. SANTO ANTONIO DOS PALMARES  X  FAZ. SANTA ROSA IV"/>
    <m/>
    <s v="LENCOIS PAULISTA"/>
    <n v="7901"/>
    <n v="371065"/>
    <m/>
    <n v="1"/>
    <s v="UA"/>
    <n v="961.43"/>
    <n v="961.43"/>
  </r>
  <r>
    <x v="409"/>
    <x v="89"/>
    <x v="9"/>
    <x v="0"/>
    <x v="4"/>
    <x v="1"/>
    <n v="1000287"/>
    <s v="SERV FRETE CAMINHAO PRANCHA AGRIC"/>
    <s v="FRETE FRETE  FAZ. SANTO ANTONIO DOS PALMARES X FAZ. SANTA ROSA IV"/>
    <n v="7024"/>
    <s v="CAPÃO BONITO"/>
    <m/>
    <n v="371065"/>
    <m/>
    <n v="604"/>
    <s v="KM"/>
    <n v="12.28"/>
    <n v="7417.12"/>
  </r>
  <r>
    <x v="410"/>
    <x v="90"/>
    <x v="15"/>
    <x v="2"/>
    <x v="0"/>
    <x v="0"/>
    <n v="1000238"/>
    <s v="SERV DESP PEDAGIO"/>
    <s v="PEDAGIO FRETE  FAZ. SÃO PEDRO  X  FAZ. IPÊ II"/>
    <m/>
    <s v="LENCOIS PAULISTA"/>
    <n v="7901"/>
    <n v="371094"/>
    <m/>
    <n v="1"/>
    <s v="UA"/>
    <n v="221.2"/>
    <n v="221.2"/>
  </r>
  <r>
    <x v="411"/>
    <x v="90"/>
    <x v="15"/>
    <x v="0"/>
    <x v="0"/>
    <x v="0"/>
    <n v="1000287"/>
    <s v="SERV FRETE CAMINHAO PRANCHA AGRIC"/>
    <s v="FRETE FAZ. SÃO PEDRO  X FAZ. IPÊ II "/>
    <n v="7002"/>
    <s v="AGUDOS "/>
    <m/>
    <n v="371094"/>
    <m/>
    <n v="323.89999999999998"/>
    <s v="KM"/>
    <n v="13.69"/>
    <n v="4434.1909999999998"/>
  </r>
  <r>
    <x v="412"/>
    <x v="91"/>
    <x v="9"/>
    <x v="2"/>
    <x v="3"/>
    <x v="1"/>
    <n v="1000238"/>
    <s v="SERV DESP PEDAGIO"/>
    <s v="PEDAGIO FRETE FAZ. SÃO JOSE II  X  FAZ. SANTO ANTONIO DOS PALMARES"/>
    <m/>
    <s v="LENCOIS PAULISTA"/>
    <n v="7901"/>
    <n v="371055"/>
    <m/>
    <n v="1"/>
    <s v="UA"/>
    <n v="125.64"/>
    <n v="125.64"/>
  </r>
  <r>
    <x v="413"/>
    <x v="91"/>
    <x v="9"/>
    <x v="0"/>
    <x v="3"/>
    <x v="1"/>
    <n v="1000287"/>
    <s v="SERV FRETE CAMINHAO PRANCHA AGRIC"/>
    <s v="FRETE  FAZ. SÃO JOSE II  X FAZ. SANTO ANTONIO DOS PALMARES"/>
    <n v="7019"/>
    <s v="BOTUCATU"/>
    <s v="0657"/>
    <n v="371055"/>
    <m/>
    <n v="250"/>
    <s v="KM"/>
    <n v="12.28"/>
    <n v="3070"/>
  </r>
  <r>
    <x v="414"/>
    <x v="92"/>
    <x v="9"/>
    <x v="2"/>
    <x v="0"/>
    <x v="1"/>
    <n v="1000238"/>
    <s v="SERV DESP PEDAGIO"/>
    <s v="PEDAGIO FRETE  FAZ. NOSSA SRA DE LOURDES II   X  FAZ. SÃO PEDRO "/>
    <m/>
    <s v="LENCOIS PAULISTA"/>
    <n v="7901"/>
    <n v="371045"/>
    <m/>
    <n v="1"/>
    <s v="UA"/>
    <n v="114.75"/>
    <n v="114.75"/>
  </r>
  <r>
    <x v="415"/>
    <x v="92"/>
    <x v="9"/>
    <x v="0"/>
    <x v="0"/>
    <x v="1"/>
    <n v="1000287"/>
    <s v="SERV FRETE CAMINHAO PRANCHA AGRIC"/>
    <s v="FRETE  FAZ. NOSSA SRA DE LOURDES II   X FAZ. SÃO PEDRO "/>
    <n v="7064"/>
    <s v="PIRATININGA"/>
    <s v="0177"/>
    <n v="371045"/>
    <m/>
    <n v="150"/>
    <s v="KM"/>
    <n v="12.28"/>
    <n v="1842"/>
  </r>
  <r>
    <x v="416"/>
    <x v="92"/>
    <x v="9"/>
    <x v="2"/>
    <x v="0"/>
    <x v="1"/>
    <n v="1000238"/>
    <s v="SERV DESP PEDAGIO"/>
    <s v="PEDAGIO FRETE  FAZ. NOSSA SRA DE LOURDES II   X  FAZ. SÃO PEDRO "/>
    <m/>
    <s v="LENCOIS PAULISTA"/>
    <n v="7901"/>
    <n v="371045"/>
    <m/>
    <n v="1"/>
    <s v="UA"/>
    <n v="20.04"/>
    <n v="20.04"/>
  </r>
  <r>
    <x v="417"/>
    <x v="92"/>
    <x v="9"/>
    <x v="0"/>
    <x v="0"/>
    <x v="1"/>
    <n v="1000287"/>
    <s v="SERV FRETE CAMINHAO PRANCHA AGRIC"/>
    <s v="FRETE  FAZ. NOSSA SRA DE LOURDES II   X FAZ. SÃO PEDRO "/>
    <n v="7064"/>
    <s v="PIRATININGA"/>
    <s v="0177"/>
    <n v="371045"/>
    <m/>
    <n v="159"/>
    <s v="KM"/>
    <n v="12.28"/>
    <n v="1952.52"/>
  </r>
  <r>
    <x v="418"/>
    <x v="92"/>
    <x v="9"/>
    <x v="2"/>
    <x v="5"/>
    <x v="1"/>
    <n v="1000238"/>
    <s v="SERV DESP PEDAGIO"/>
    <s v="PEDAGIO FRETE FAZ. SANTA ROSA  X  FAZ. SANTO ANTONIO DOS PALMARES"/>
    <m/>
    <s v="LENCOIS PAULISTA"/>
    <n v="7901"/>
    <n v="371045"/>
    <m/>
    <n v="1"/>
    <s v="UA"/>
    <n v="701.03"/>
    <n v="701.03"/>
  </r>
  <r>
    <x v="419"/>
    <x v="92"/>
    <x v="9"/>
    <x v="0"/>
    <x v="5"/>
    <x v="1"/>
    <n v="1000287"/>
    <s v="SERV FRETE CAMINHAO PRANCHA AGRIC"/>
    <s v="FRETE  FRETE FAZ. SANTA ROSA X FAZ. SANTO ANTONIO DOS PALMARES"/>
    <n v="7019"/>
    <s v="BOTUCATU"/>
    <s v="0657"/>
    <n v="371045"/>
    <m/>
    <n v="593"/>
    <s v="KM"/>
    <n v="12.28"/>
    <n v="7282.04"/>
  </r>
  <r>
    <x v="420"/>
    <x v="92"/>
    <x v="9"/>
    <x v="2"/>
    <x v="0"/>
    <x v="1"/>
    <n v="1000238"/>
    <s v="SERV DESP PEDAGIO"/>
    <s v="PEDAGIO FRETE  FAZ. NOSSA SRA DE LOURDES II   X  FAZ. SÃO PEDRO "/>
    <m/>
    <s v="LENCOIS PAULISTA"/>
    <n v="7901"/>
    <n v="371045"/>
    <m/>
    <n v="1"/>
    <s v="UA"/>
    <n v="114.75"/>
    <n v="114.75"/>
  </r>
  <r>
    <x v="421"/>
    <x v="92"/>
    <x v="9"/>
    <x v="0"/>
    <x v="0"/>
    <x v="1"/>
    <n v="1000287"/>
    <s v="SERV FRETE CAMINHAO PRANCHA AGRIC"/>
    <s v="FRETE  FAZ. NOSSA SRA DE LOURDES II   X FAZ. SÃO PEDRO "/>
    <n v="7064"/>
    <s v="PIRATININGA"/>
    <s v="0177"/>
    <n v="371045"/>
    <m/>
    <n v="150"/>
    <s v="KM"/>
    <n v="12.28"/>
    <n v="1842"/>
  </r>
  <r>
    <x v="422"/>
    <x v="92"/>
    <x v="9"/>
    <x v="2"/>
    <x v="0"/>
    <x v="1"/>
    <n v="1000238"/>
    <s v="SERV DESP PEDAGIO"/>
    <s v="PEDAGIO FRETE  FAZ. NOSSA SRA DE LOURDES II   X  FAZ. SÃO PEDRO "/>
    <m/>
    <s v="LENCOIS PAULISTA"/>
    <n v="7901"/>
    <n v="371045"/>
    <m/>
    <n v="1"/>
    <s v="UA"/>
    <n v="20.04"/>
    <n v="20.04"/>
  </r>
  <r>
    <x v="423"/>
    <x v="92"/>
    <x v="9"/>
    <x v="0"/>
    <x v="0"/>
    <x v="1"/>
    <n v="1000287"/>
    <s v="SERV FRETE CAMINHAO PRANCHA AGRIC"/>
    <s v="FRETE  FAZ. NOSSA SRA DE LOURDES II   X FAZ. SÃO PEDRO "/>
    <n v="7064"/>
    <s v="PIRATININGA"/>
    <s v="0177"/>
    <n v="371045"/>
    <m/>
    <n v="187"/>
    <s v="KM"/>
    <n v="12.28"/>
    <n v="2296.3599999999997"/>
  </r>
  <r>
    <x v="424"/>
    <x v="92"/>
    <x v="9"/>
    <x v="2"/>
    <x v="4"/>
    <x v="1"/>
    <n v="1000238"/>
    <s v="SERV DESP PEDAGIO"/>
    <s v="PEDAGIO FRETE FAZ. SANTA ROSA  X  FAZ. SANTO ANTONIO DOS PALMARES"/>
    <m/>
    <s v="LENCOIS PAULISTA"/>
    <n v="7901"/>
    <n v="371065"/>
    <m/>
    <n v="1"/>
    <s v="UA"/>
    <n v="701.03"/>
    <n v="701.03"/>
  </r>
  <r>
    <x v="425"/>
    <x v="92"/>
    <x v="9"/>
    <x v="0"/>
    <x v="4"/>
    <x v="1"/>
    <n v="1000287"/>
    <s v="SERV FRETE CAMINHAO PRANCHA AGRIC"/>
    <s v="FRETE  FRETE FAZ. SANTA ROSA X FAZ. SANTO ANTONIO DOS PALMARES"/>
    <n v="7019"/>
    <s v="BOTUCATU"/>
    <s v="0657"/>
    <n v="371065"/>
    <m/>
    <n v="594"/>
    <s v="KM"/>
    <n v="12.28"/>
    <n v="7294.32"/>
  </r>
  <r>
    <x v="426"/>
    <x v="93"/>
    <x v="9"/>
    <x v="2"/>
    <x v="4"/>
    <x v="1"/>
    <n v="1000238"/>
    <s v="SERV DESP PEDAGIO"/>
    <s v="PEDAGIO FRETE FAZ. SANTA ROSA  X  FAZ. SANTO ANTONIO DOS PALMARES"/>
    <m/>
    <s v="LENCOIS PAULISTA"/>
    <n v="7901"/>
    <n v="371065"/>
    <m/>
    <n v="1"/>
    <s v="UA"/>
    <n v="504.08"/>
    <n v="504.08"/>
  </r>
  <r>
    <x v="427"/>
    <x v="93"/>
    <x v="9"/>
    <x v="0"/>
    <x v="4"/>
    <x v="1"/>
    <n v="1000287"/>
    <s v="SERV FRETE CAMINHAO PRANCHA AGRIC"/>
    <s v="FRETE  FRETE FAZ. SANTA ROSA X FAZ. SANTO ANTONIO DOS PALMARES"/>
    <n v="7019"/>
    <s v="BOTUCATU"/>
    <s v="0657"/>
    <n v="371065"/>
    <m/>
    <n v="460"/>
    <s v="KM"/>
    <n v="12.28"/>
    <n v="5648.7999999999993"/>
  </r>
  <r>
    <x v="428"/>
    <x v="94"/>
    <x v="15"/>
    <x v="2"/>
    <x v="0"/>
    <x v="1"/>
    <n v="1000238"/>
    <s v="SERV DESP PEDAGIO"/>
    <s v="PEDAGIO FRETE FAZ. SÃO PEDRO X  FAZ. SÃO PEDRO"/>
    <m/>
    <s v="LENCOIS PAULISTA"/>
    <n v="7901"/>
    <n v="371094"/>
    <m/>
    <n v="1"/>
    <s v="UA"/>
    <n v="125.64"/>
    <n v="125.64"/>
  </r>
  <r>
    <x v="429"/>
    <x v="94"/>
    <x v="15"/>
    <x v="0"/>
    <x v="0"/>
    <x v="1"/>
    <n v="1000287"/>
    <s v="SERV FRETE CAMINHAO PRANCHA AGRIC"/>
    <s v="FRETE  FRETE FAZ. SÃO PEDRO  X FAZ. SÃO PEDRO"/>
    <n v="7064"/>
    <s v="PIRATININGA"/>
    <s v="0177"/>
    <n v="371094"/>
    <m/>
    <n v="83.333333333333329"/>
    <s v="KM"/>
    <n v="12.28"/>
    <n v="1023.3333333333333"/>
  </r>
  <r>
    <x v="430"/>
    <x v="94"/>
    <x v="15"/>
    <x v="2"/>
    <x v="0"/>
    <x v="1"/>
    <n v="1000238"/>
    <s v="SERV DESP PEDAGIO"/>
    <s v="PEDAGIO FRETE FAZ. SÃO PEDRO X  FAZ. SÃO PEDRO"/>
    <m/>
    <s v="LENCOIS PAULISTA"/>
    <n v="7901"/>
    <n v="371094"/>
    <m/>
    <n v="1"/>
    <s v="UA"/>
    <n v="0"/>
    <n v="0"/>
  </r>
  <r>
    <x v="431"/>
    <x v="94"/>
    <x v="15"/>
    <x v="0"/>
    <x v="0"/>
    <x v="1"/>
    <n v="1000287"/>
    <s v="SERV FRETE CAMINHAO PRANCHA AGRIC"/>
    <s v="FRETE  FRETE FAZ. SÃO PEDRO  X FAZ. SÃO PEDRO"/>
    <n v="7064"/>
    <s v="PIRATININGA"/>
    <s v="0177"/>
    <n v="371094"/>
    <m/>
    <n v="83.333333333333329"/>
    <s v="KM"/>
    <n v="12.28"/>
    <n v="1023.3333333333333"/>
  </r>
  <r>
    <x v="432"/>
    <x v="94"/>
    <x v="15"/>
    <x v="2"/>
    <x v="0"/>
    <x v="1"/>
    <n v="1000238"/>
    <s v="SERV DESP PEDAGIO"/>
    <s v="PEDAGIO FRETE FAZ. SÃO PEDRO X  FAZ. SÃO PEDRO"/>
    <m/>
    <s v="LENCOIS PAULISTA"/>
    <n v="7901"/>
    <n v="371094"/>
    <m/>
    <n v="1"/>
    <s v="UA"/>
    <n v="47.4"/>
    <n v="47.4"/>
  </r>
  <r>
    <x v="433"/>
    <x v="94"/>
    <x v="15"/>
    <x v="0"/>
    <x v="0"/>
    <x v="1"/>
    <n v="1000287"/>
    <s v="SERV FRETE CAMINHAO PRANCHA AGRIC"/>
    <s v="FRETE  FRETE FAZ. SÃO PEDRO  X FAZ. SÃO PEDRO"/>
    <n v="7064"/>
    <s v="PIRATININGA"/>
    <s v="0177"/>
    <n v="371094"/>
    <m/>
    <n v="83.333333333333329"/>
    <s v="KM"/>
    <n v="12.28"/>
    <n v="1023.3333333333333"/>
  </r>
  <r>
    <x v="434"/>
    <x v="94"/>
    <x v="15"/>
    <x v="2"/>
    <x v="4"/>
    <x v="1"/>
    <n v="1000238"/>
    <s v="SERV DESP PEDAGIO"/>
    <s v="PEDAGIO FRETE FAZ. FLECHA AZUL X  FAZ. TURVINHO "/>
    <m/>
    <s v="LENCOIS PAULISTA"/>
    <n v="7901"/>
    <n v="371065"/>
    <m/>
    <n v="1"/>
    <s v="UA"/>
    <n v="349.12"/>
    <n v="349.12"/>
  </r>
  <r>
    <x v="435"/>
    <x v="94"/>
    <x v="15"/>
    <x v="0"/>
    <x v="4"/>
    <x v="1"/>
    <n v="1000287"/>
    <s v="SERV FRETE CAMINHAO PRANCHA AGRIC"/>
    <s v="FRETE FAZ. FLECHA AZUL  X  FAZ. TURVINHO "/>
    <n v="7016"/>
    <s v="BOREBI"/>
    <s v="0012"/>
    <n v="371065"/>
    <m/>
    <n v="368"/>
    <s v="KM"/>
    <n v="12.28"/>
    <n v="4519.04"/>
  </r>
  <r>
    <x v="436"/>
    <x v="94"/>
    <x v="15"/>
    <x v="2"/>
    <x v="0"/>
    <x v="1"/>
    <n v="1000238"/>
    <s v="SERV DESP PEDAGIO"/>
    <s v="PEDAGIO FRETE FAZ. SÃO PEDRO X FAZ. SÃO PEDRO"/>
    <m/>
    <s v="LENCOIS PAULISTA"/>
    <n v="7901"/>
    <n v="371045"/>
    <m/>
    <n v="1"/>
    <s v="UA"/>
    <n v="104.62"/>
    <n v="104.62"/>
  </r>
  <r>
    <x v="437"/>
    <x v="94"/>
    <x v="15"/>
    <x v="0"/>
    <x v="0"/>
    <x v="1"/>
    <n v="1000287"/>
    <s v="SERV FRETE CAMINHAO PRANCHA AGRIC"/>
    <s v="FRETE FAZ. SÃO PEDRO  X  FAZ. SÃO PEDRO"/>
    <n v="7064"/>
    <s v="PIRATININGA"/>
    <s v="0177"/>
    <n v="371045"/>
    <m/>
    <n v="83.333333333333329"/>
    <s v="KM"/>
    <n v="12.28"/>
    <n v="1023.3333333333333"/>
  </r>
  <r>
    <x v="438"/>
    <x v="94"/>
    <x v="15"/>
    <x v="2"/>
    <x v="0"/>
    <x v="1"/>
    <n v="1000238"/>
    <s v="SERV DESP PEDAGIO"/>
    <s v="PEDAGIO FRETE FAZ. SÃO PEDRO X FAZ. SÃO PEDRO"/>
    <m/>
    <s v="LENCOIS PAULISTA"/>
    <n v="7901"/>
    <n v="371045"/>
    <m/>
    <n v="1"/>
    <s v="UA"/>
    <n v="0"/>
    <n v="0"/>
  </r>
  <r>
    <x v="439"/>
    <x v="94"/>
    <x v="15"/>
    <x v="0"/>
    <x v="0"/>
    <x v="1"/>
    <n v="1000287"/>
    <s v="SERV FRETE CAMINHAO PRANCHA AGRIC"/>
    <s v="FRETE FAZ. SÃO PEDRO  X  FAZ. SÃO PEDRO"/>
    <n v="7064"/>
    <s v="PIRATININGA"/>
    <s v="0177"/>
    <n v="371045"/>
    <m/>
    <n v="83.333333333333329"/>
    <s v="KM"/>
    <n v="12.28"/>
    <n v="1023.3333333333333"/>
  </r>
  <r>
    <x v="440"/>
    <x v="94"/>
    <x v="15"/>
    <x v="2"/>
    <x v="0"/>
    <x v="1"/>
    <n v="1000238"/>
    <s v="SERV DESP PEDAGIO"/>
    <s v="PEDAGIO FRETE FAZ. SÃO PEDRO X FAZ. SÃO PEDRO"/>
    <m/>
    <s v="LENCOIS PAULISTA"/>
    <n v="7901"/>
    <n v="371045"/>
    <m/>
    <n v="1"/>
    <s v="UA"/>
    <n v="39.5"/>
    <n v="39.5"/>
  </r>
  <r>
    <x v="441"/>
    <x v="94"/>
    <x v="15"/>
    <x v="0"/>
    <x v="0"/>
    <x v="1"/>
    <n v="1000287"/>
    <s v="SERV FRETE CAMINHAO PRANCHA AGRIC"/>
    <s v="FRETE FAZ. SÃO PEDRO  X  FAZ. SÃO PEDRO"/>
    <n v="7064"/>
    <s v="PIRATININGA"/>
    <s v="0177"/>
    <n v="371045"/>
    <m/>
    <n v="83.333333333333329"/>
    <s v="KM"/>
    <n v="12.28"/>
    <n v="1023.3333333333333"/>
  </r>
  <r>
    <x v="442"/>
    <x v="94"/>
    <x v="15"/>
    <x v="2"/>
    <x v="5"/>
    <x v="1"/>
    <n v="1000238"/>
    <s v="SERV DESP PEDAGIO"/>
    <s v="PEDAGIO FRETE FAZ. SALTO DO LONTRA X FAZ. SANTA ROSA VI"/>
    <m/>
    <s v="LENCOIS PAULISTA"/>
    <n v="7901"/>
    <n v="371045"/>
    <m/>
    <n v="1"/>
    <s v="UA"/>
    <n v="1458.24"/>
    <n v="1458.24"/>
  </r>
  <r>
    <x v="443"/>
    <x v="94"/>
    <x v="15"/>
    <x v="0"/>
    <x v="5"/>
    <x v="1"/>
    <n v="1000287"/>
    <s v="SERV FRETE CAMINHAO PRANCHA AGRIC"/>
    <s v="FRETE  FRETE FAZ. SALTO DO LONTRA  X  FAZ. SANTA ROSA VI"/>
    <n v="7024"/>
    <s v="CAPAO BONITO"/>
    <n v="2103"/>
    <n v="371045"/>
    <m/>
    <n v="747"/>
    <s v="KM"/>
    <n v="12.28"/>
    <n v="9173.16"/>
  </r>
  <r>
    <x v="444"/>
    <x v="90"/>
    <x v="15"/>
    <x v="2"/>
    <x v="4"/>
    <x v="1"/>
    <n v="1000238"/>
    <s v="SERV DESP PEDAGIO"/>
    <s v="PEDAGIO FRETE FAZ. SANTO ANTONIO DOS PALMARES X FAZ. SANTA ROSA VI "/>
    <m/>
    <s v="LENCOIS PAULISTA"/>
    <n v="7901"/>
    <n v="371065"/>
    <m/>
    <n v="1"/>
    <s v="UA"/>
    <n v="961.43"/>
    <n v="961.43"/>
  </r>
  <r>
    <x v="445"/>
    <x v="90"/>
    <x v="15"/>
    <x v="0"/>
    <x v="4"/>
    <x v="1"/>
    <n v="1000287"/>
    <s v="SERV FRETE CAMINHAO PRANCHA AGRIC"/>
    <s v="FRETE  FRETE FAZ. SANTO ANTONIO DOS PALMARES X  FAZ. SANTA ROSA VI "/>
    <n v="7024"/>
    <s v="CAPAO BONITO"/>
    <n v="2103"/>
    <n v="371065"/>
    <m/>
    <n v="599"/>
    <s v="KM"/>
    <n v="12.28"/>
    <n v="7355.7199999999993"/>
  </r>
  <r>
    <x v="446"/>
    <x v="90"/>
    <x v="15"/>
    <x v="2"/>
    <x v="4"/>
    <x v="1"/>
    <n v="1000238"/>
    <s v="SERV DESP PEDAGIO"/>
    <s v="PEDAGIO FRETE FAZ. SANTO ANTONIO DOS PALMARES X FAZ. SANTA ROSA VI "/>
    <m/>
    <s v="LENCOIS PAULISTA"/>
    <n v="7901"/>
    <n v="371065"/>
    <m/>
    <n v="1"/>
    <s v="UA"/>
    <n v="961.43"/>
    <n v="961.43"/>
  </r>
  <r>
    <x v="447"/>
    <x v="90"/>
    <x v="15"/>
    <x v="0"/>
    <x v="4"/>
    <x v="1"/>
    <n v="1000287"/>
    <s v="SERV FRETE CAMINHAO PRANCHA AGRIC"/>
    <s v="FRETE  FRETE FAZ. SANTO ANTONIO DOS PALMARES X  FAZ. SANTA ROSA VI "/>
    <n v="7024"/>
    <s v="CAPAO BONITO"/>
    <n v="2103"/>
    <n v="371065"/>
    <m/>
    <n v="606"/>
    <s v="KM"/>
    <n v="12.28"/>
    <n v="7441.6799999999994"/>
  </r>
  <r>
    <x v="448"/>
    <x v="90"/>
    <x v="15"/>
    <x v="2"/>
    <x v="4"/>
    <x v="1"/>
    <n v="1000238"/>
    <s v="SERV DESP PEDAGIO"/>
    <s v="PEDAGIO FRETE FAZ. SANTO ANTONIO DOS PALMARES X FAZ. SANTA ROSA VI "/>
    <m/>
    <s v="LENCOIS PAULISTA"/>
    <n v="7901"/>
    <n v="371065"/>
    <m/>
    <n v="1"/>
    <s v="UA"/>
    <n v="961.43"/>
    <n v="961.43"/>
  </r>
  <r>
    <x v="449"/>
    <x v="90"/>
    <x v="15"/>
    <x v="0"/>
    <x v="4"/>
    <x v="1"/>
    <n v="1000287"/>
    <s v="SERV FRETE CAMINHAO PRANCHA AGRIC"/>
    <s v="FRETE  FRETE FAZ. SANTO ANTONIO DOS PALMARES X  FAZ. SANTA ROSA VI "/>
    <n v="7024"/>
    <s v="CAPAO BONITO"/>
    <n v="2103"/>
    <n v="371065"/>
    <m/>
    <n v="607"/>
    <s v="KM"/>
    <n v="12.28"/>
    <n v="7453.96"/>
  </r>
  <r>
    <x v="383"/>
    <x v="95"/>
    <x v="15"/>
    <x v="2"/>
    <x v="4"/>
    <x v="1"/>
    <n v="1000238"/>
    <s v="SERV DESP PEDAGIO"/>
    <s v="PEDAGIO FRETE FAZ. TURVINHO I  X FAZ. GANESI GLEBA B"/>
    <m/>
    <s v="LENCOIS PAULISTA"/>
    <n v="7901"/>
    <n v="371065"/>
    <m/>
    <n v="1"/>
    <s v="UA"/>
    <n v="292.2"/>
    <n v="292.2"/>
  </r>
  <r>
    <x v="383"/>
    <x v="95"/>
    <x v="15"/>
    <x v="0"/>
    <x v="4"/>
    <x v="1"/>
    <n v="1000287"/>
    <s v="SERV FRETE CAMINHAO PRANCHA AGRIC"/>
    <s v="FRETE  FRETE FAZ. TURVINHO I X FAZ. GANESI GLEBA B"/>
    <n v="7007"/>
    <s v="ANHEMBI"/>
    <n v="2422"/>
    <n v="371065"/>
    <m/>
    <n v="327"/>
    <s v="KM"/>
    <n v="12.28"/>
    <n v="4015.56"/>
  </r>
  <r>
    <x v="383"/>
    <x v="95"/>
    <x v="15"/>
    <x v="2"/>
    <x v="4"/>
    <x v="1"/>
    <n v="1000238"/>
    <s v="SERV DESP PEDAGIO"/>
    <s v="PEDAGIO FRETE FAZ. TURVINHO I  X FAZ. GANESI GLEBA B"/>
    <m/>
    <s v="LENCOIS PAULISTA"/>
    <n v="7901"/>
    <n v="371065"/>
    <m/>
    <n v="1"/>
    <s v="UA"/>
    <n v="217.6"/>
    <n v="217.6"/>
  </r>
  <r>
    <x v="383"/>
    <x v="95"/>
    <x v="15"/>
    <x v="0"/>
    <x v="4"/>
    <x v="1"/>
    <n v="1000287"/>
    <s v="SERV FRETE CAMINHAO PRANCHA AGRIC"/>
    <s v="FRETE  FRETE FAZ. TURVINHO I X FAZ. GANESI GLEBA B"/>
    <n v="7007"/>
    <s v="ANHEMBI"/>
    <n v="2422"/>
    <n v="371065"/>
    <m/>
    <n v="327"/>
    <s v="KM"/>
    <n v="12.28"/>
    <n v="4015.56"/>
  </r>
  <r>
    <x v="383"/>
    <x v="95"/>
    <x v="15"/>
    <x v="2"/>
    <x v="4"/>
    <x v="1"/>
    <n v="1000238"/>
    <s v="SERV DESP PEDAGIO"/>
    <s v="PEDAGIO FRETE FAZ. TURVINHO I  X FAZ. GANESI GLEBA B"/>
    <m/>
    <s v="LENCOIS PAULISTA"/>
    <n v="7901"/>
    <n v="371065"/>
    <m/>
    <n v="1"/>
    <s v="UA"/>
    <n v="292.2"/>
    <n v="292.2"/>
  </r>
  <r>
    <x v="383"/>
    <x v="95"/>
    <x v="15"/>
    <x v="0"/>
    <x v="4"/>
    <x v="1"/>
    <n v="1000287"/>
    <s v="SERV FRETE CAMINHAO PRANCHA AGRIC"/>
    <s v="FRETE  FRETE FAZ. TURVINHO I X FAZ. GANESI GLEBA B"/>
    <n v="7007"/>
    <s v="ANHEMBI"/>
    <n v="2422"/>
    <n v="371065"/>
    <m/>
    <n v="328"/>
    <s v="KM"/>
    <n v="12.28"/>
    <n v="4027.8399999999997"/>
  </r>
  <r>
    <x v="383"/>
    <x v="96"/>
    <x v="15"/>
    <x v="2"/>
    <x v="4"/>
    <x v="1"/>
    <n v="1000238"/>
    <s v="SERV DESP PEDAGIO"/>
    <s v="PEDAGIO FRETE FAZ. GANESI GLEBA B X FAZ. SALTO DO LONTRA"/>
    <m/>
    <s v="LENCOIS PAULISTA"/>
    <n v="7901"/>
    <n v="371065"/>
    <m/>
    <n v="1"/>
    <s v="UA"/>
    <n v="491.21"/>
    <n v="491.21"/>
  </r>
  <r>
    <x v="383"/>
    <x v="96"/>
    <x v="15"/>
    <x v="0"/>
    <x v="4"/>
    <x v="1"/>
    <n v="1000287"/>
    <s v="SERV FRETE CAMINHAO PRANCHA AGRIC"/>
    <s v="FRETE  FRETE FAZ. GANESI GLEBA B X FAZ. SALTO DO LONTRA"/>
    <n v="7020"/>
    <s v="BROTAS"/>
    <s v="0404"/>
    <n v="371065"/>
    <m/>
    <n v="426"/>
    <s v="KM"/>
    <n v="12.28"/>
    <n v="5231.28"/>
  </r>
  <r>
    <x v="383"/>
    <x v="96"/>
    <x v="15"/>
    <x v="2"/>
    <x v="4"/>
    <x v="1"/>
    <n v="1000238"/>
    <s v="SERV DESP PEDAGIO"/>
    <s v="PEDAGIO FRETE FAZ. GANESI GLEBA B X FAZ. SALTO DO LONTRA"/>
    <m/>
    <s v="LENCOIS PAULISTA"/>
    <n v="7901"/>
    <n v="371065"/>
    <m/>
    <n v="1"/>
    <s v="UA"/>
    <n v="491.21"/>
    <n v="491.21"/>
  </r>
  <r>
    <x v="383"/>
    <x v="96"/>
    <x v="15"/>
    <x v="0"/>
    <x v="4"/>
    <x v="1"/>
    <n v="1000287"/>
    <s v="SERV FRETE CAMINHAO PRANCHA AGRIC"/>
    <s v="FRETE  FRETE FAZ. GANESI GLEBA B X FAZ. SALTO DO LONTRA"/>
    <n v="7020"/>
    <s v="BROTAS"/>
    <s v="0404"/>
    <n v="371065"/>
    <m/>
    <n v="428"/>
    <s v="KM"/>
    <n v="12.28"/>
    <n v="5255.84"/>
  </r>
  <r>
    <x v="383"/>
    <x v="96"/>
    <x v="15"/>
    <x v="2"/>
    <x v="4"/>
    <x v="1"/>
    <n v="1000238"/>
    <s v="SERV DESP PEDAGIO"/>
    <s v="PEDAGIO FRETE FAZ. GANESI GLEBA B X FAZ. SALTO DO LONTRA"/>
    <m/>
    <s v="LENCOIS PAULISTA"/>
    <n v="7901"/>
    <n v="371065"/>
    <m/>
    <n v="1"/>
    <s v="UA"/>
    <n v="544.61"/>
    <n v="544.61"/>
  </r>
  <r>
    <x v="383"/>
    <x v="96"/>
    <x v="15"/>
    <x v="0"/>
    <x v="4"/>
    <x v="1"/>
    <n v="1000287"/>
    <s v="SERV FRETE CAMINHAO PRANCHA AGRIC"/>
    <s v="FRETE  FRETE FAZ. GANESI GLEBA B X FAZ. SALTO DO LONTRA"/>
    <n v="7020"/>
    <s v="BROTAS"/>
    <s v="0404"/>
    <n v="371065"/>
    <m/>
    <n v="429"/>
    <s v="KM"/>
    <n v="12.28"/>
    <n v="5268.12"/>
  </r>
  <r>
    <x v="383"/>
    <x v="96"/>
    <x v="15"/>
    <x v="2"/>
    <x v="4"/>
    <x v="1"/>
    <n v="1000238"/>
    <s v="SERV DESP PEDAGIO"/>
    <s v="PEDAGIO FRETE  FAZ. GANESI GLEBA B x FAZ. SALTO DO LONTRA"/>
    <m/>
    <s v="LENCOIS PAULISTA"/>
    <n v="7901"/>
    <n v="371065"/>
    <m/>
    <n v="1"/>
    <s v="UA"/>
    <n v="360.9"/>
    <n v="360.9"/>
  </r>
  <r>
    <x v="383"/>
    <x v="96"/>
    <x v="15"/>
    <x v="0"/>
    <x v="4"/>
    <x v="1"/>
    <n v="1000287"/>
    <s v="SERV FRETE CAMINHAO PRANCHA AGRIC"/>
    <s v="FRETE  FRETE FAZ. GANESI GLEBA B x FAZ. SALTO DO LONTRA"/>
    <n v="7020"/>
    <s v="BROTAS"/>
    <s v="0404"/>
    <n v="371065"/>
    <m/>
    <n v="425"/>
    <s v="KM"/>
    <n v="12.28"/>
    <n v="5219"/>
  </r>
  <r>
    <x v="383"/>
    <x v="97"/>
    <x v="15"/>
    <x v="2"/>
    <x v="0"/>
    <x v="1"/>
    <n v="1000238"/>
    <s v="SERV DESP PEDAGIO"/>
    <s v="PEDAGIO FRETE FAZ. IPE II x FAZ. PALMEIRAS"/>
    <m/>
    <s v="LENCOIS PAULISTA"/>
    <n v="7901"/>
    <n v="371094"/>
    <m/>
    <n v="1"/>
    <s v="UA"/>
    <n v="574.79999999999995"/>
    <n v="574.79999999999995"/>
  </r>
  <r>
    <x v="383"/>
    <x v="97"/>
    <x v="15"/>
    <x v="0"/>
    <x v="0"/>
    <x v="1"/>
    <n v="1000287"/>
    <s v="SERV FRETE CAMINHAO PRANCHA AGRIC"/>
    <s v="FRETE  FRETE FAZ. IPE II x FAZ. PALMEIRAS"/>
    <n v="7024"/>
    <s v="CAPAO BONITO"/>
    <s v="0938"/>
    <n v="371094"/>
    <m/>
    <n v="578"/>
    <s v="KM"/>
    <n v="12.28"/>
    <n v="7097.8399999999992"/>
  </r>
  <r>
    <x v="383"/>
    <x v="97"/>
    <x v="15"/>
    <x v="2"/>
    <x v="0"/>
    <x v="1"/>
    <n v="1000238"/>
    <s v="SERV DESP PEDAGIO"/>
    <s v="PEDAGIO FRETE FAZ. IPE II x FAZ. PALMEIRAS"/>
    <m/>
    <s v="LENCOIS PAULISTA"/>
    <n v="7901"/>
    <n v="371094"/>
    <m/>
    <n v="1"/>
    <s v="UA"/>
    <n v="805.2"/>
    <n v="805.2"/>
  </r>
  <r>
    <x v="383"/>
    <x v="97"/>
    <x v="15"/>
    <x v="0"/>
    <x v="0"/>
    <x v="1"/>
    <n v="1000287"/>
    <s v="SERV FRETE CAMINHAO PRANCHA AGRIC"/>
    <s v="FRETE  FRETE FAZ. IPE II x FAZ. PALMEIRAS"/>
    <n v="7024"/>
    <s v="CAPAO BONITO"/>
    <s v="0938"/>
    <n v="371094"/>
    <m/>
    <n v="619"/>
    <s v="KM"/>
    <n v="12.28"/>
    <n v="7601.32"/>
  </r>
  <r>
    <x v="383"/>
    <x v="97"/>
    <x v="15"/>
    <x v="2"/>
    <x v="0"/>
    <x v="1"/>
    <n v="1000238"/>
    <s v="SERV DESP PEDAGIO"/>
    <s v="PEDAGIO FRETE FAZ. IPE II x FAZ. PALMEIRAS"/>
    <m/>
    <s v="LENCOIS PAULISTA"/>
    <n v="7901"/>
    <n v="371094"/>
    <m/>
    <n v="1"/>
    <s v="UA"/>
    <n v="805.2"/>
    <n v="805.2"/>
  </r>
  <r>
    <x v="383"/>
    <x v="97"/>
    <x v="15"/>
    <x v="0"/>
    <x v="0"/>
    <x v="1"/>
    <n v="1000287"/>
    <s v="SERV FRETE CAMINHAO PRANCHA AGRIC"/>
    <s v="FRETE  FRETE FAZ. IPE II x FAZ. PALMEIRAS"/>
    <n v="7024"/>
    <s v="CAPAO BONITO"/>
    <s v="0938"/>
    <n v="371094"/>
    <m/>
    <n v="623"/>
    <s v="KM"/>
    <n v="12.28"/>
    <n v="7650.44"/>
  </r>
  <r>
    <x v="383"/>
    <x v="98"/>
    <x v="15"/>
    <x v="2"/>
    <x v="5"/>
    <x v="1"/>
    <n v="1000238"/>
    <s v="SERV DESP PEDAGIO"/>
    <s v="PEDAGIO FRETE  LENCOIS CAT x FAZ. SANTA TEREZINHA IV"/>
    <m/>
    <s v="LENCOIS PAULISTA"/>
    <n v="7901"/>
    <n v="371045"/>
    <m/>
    <n v="1"/>
    <s v="UA"/>
    <n v="181.3"/>
    <n v="181.3"/>
  </r>
  <r>
    <x v="383"/>
    <x v="98"/>
    <x v="15"/>
    <x v="0"/>
    <x v="5"/>
    <x v="1"/>
    <n v="1000287"/>
    <s v="SERV FRETE CAMINHAO PRANCHA AGRIC"/>
    <s v="FRETE  FRETE  LENCOIS CAT x FAZ. SANTA TEREZINHA IV"/>
    <n v="4007"/>
    <s v="ANHEMBI"/>
    <s v="0421"/>
    <n v="371045"/>
    <m/>
    <n v="125"/>
    <s v="KM"/>
    <n v="12.28"/>
    <n v="1535"/>
  </r>
  <r>
    <x v="383"/>
    <x v="98"/>
    <x v="15"/>
    <x v="2"/>
    <x v="5"/>
    <x v="1"/>
    <n v="1000238"/>
    <s v="SERV DESP PEDAGIO"/>
    <s v="PEDAGIO FRETE FAZ. SANTA TEREZINHA IV x LENCOIS CAT"/>
    <m/>
    <s v="LENCOIS PAULISTA"/>
    <n v="7901"/>
    <n v="371045"/>
    <m/>
    <n v="1"/>
    <s v="UA"/>
    <n v="181.3"/>
    <n v="181.3"/>
  </r>
  <r>
    <x v="383"/>
    <x v="98"/>
    <x v="15"/>
    <x v="0"/>
    <x v="5"/>
    <x v="1"/>
    <n v="1000287"/>
    <s v="SERV FRETE CAMINHAO PRANCHA AGRIC"/>
    <s v="FRETE  FRETE  FAZ. SANTA TEREZINHA IV x LENCOIS CAT"/>
    <m/>
    <s v="LENCOIS PAULISTA"/>
    <n v="7901"/>
    <n v="371045"/>
    <m/>
    <n v="125"/>
    <s v="KM"/>
    <n v="12.28"/>
    <n v="1535"/>
  </r>
  <r>
    <x v="383"/>
    <x v="76"/>
    <x v="9"/>
    <x v="9"/>
    <x v="5"/>
    <x v="6"/>
    <s v="0200111"/>
    <s v="SERV CONFECCAO DE ADESIVOS"/>
    <s v="ADESIVO DE FROTA 37X12 cm  RECORTE PRETO VINIL"/>
    <s v="-"/>
    <s v="LENCOIS PAULISTA"/>
    <n v="7901"/>
    <n v="371045"/>
    <n v="10792042"/>
    <n v="14"/>
    <s v="UA"/>
    <n v="14"/>
    <n v="196"/>
  </r>
  <r>
    <x v="383"/>
    <x v="76"/>
    <x v="9"/>
    <x v="9"/>
    <x v="8"/>
    <x v="6"/>
    <s v="0200111"/>
    <s v="SERV CONFECCAO DE ADESIVOS"/>
    <s v="QUADROS DE Acm, Branco com laminação para escritas, 70x50cm personalizado -pc"/>
    <m/>
    <s v="LENCOIS PAULISTA"/>
    <n v="7901"/>
    <n v="371068"/>
    <m/>
    <n v="1"/>
    <s v="UA"/>
    <n v="155"/>
    <n v="155"/>
  </r>
  <r>
    <x v="383"/>
    <x v="99"/>
    <x v="7"/>
    <x v="9"/>
    <x v="8"/>
    <x v="6"/>
    <s v="0200111"/>
    <s v="SERV CONFECCAO DE ADESIVOS"/>
    <s v="BANNER EM LONA - SEGURANÇA -PADRÃO BRACELL "/>
    <m/>
    <s v="LENCOIS PAULISTA"/>
    <n v="7901"/>
    <n v="371068"/>
    <m/>
    <n v="2"/>
    <s v="UA"/>
    <n v="177"/>
    <n v="354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20"/>
    <s v="UA"/>
    <n v="13"/>
    <n v="260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36"/>
    <s v="UA"/>
    <n v="5"/>
    <n v="180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6"/>
    <s v="UA"/>
    <n v="3.5"/>
    <n v="21"/>
  </r>
  <r>
    <x v="383"/>
    <x v="99"/>
    <x v="7"/>
    <x v="9"/>
    <x v="8"/>
    <x v="6"/>
    <s v="0200111"/>
    <s v="SERV CONFECCAO DE ADESIVOS"/>
    <s v="PLACA EM ACM INDICATIVA DE ADVERTENCIA"/>
    <m/>
    <s v="LENCOIS PAULISTA"/>
    <n v="7901"/>
    <n v="371068"/>
    <m/>
    <n v="4"/>
    <s v="UA"/>
    <n v="127"/>
    <n v="508"/>
  </r>
  <r>
    <x v="383"/>
    <x v="99"/>
    <x v="7"/>
    <x v="9"/>
    <x v="8"/>
    <x v="6"/>
    <s v="0200111"/>
    <s v="SERV CONFECCAO DE ADESIVOS"/>
    <s v="PLACA EM ACM INDICATIVA DE ADVERTENCIA"/>
    <m/>
    <s v="LENCOIS PAULISTA"/>
    <n v="7901"/>
    <n v="371068"/>
    <m/>
    <n v="4"/>
    <s v="UA"/>
    <n v="127"/>
    <n v="508"/>
  </r>
  <r>
    <x v="383"/>
    <x v="99"/>
    <x v="7"/>
    <x v="9"/>
    <x v="8"/>
    <x v="6"/>
    <s v="0200111"/>
    <s v="SERV CONFECCAO DE ADESIVOS"/>
    <s v="PLACA EM ACM INDICATIVA DE ADVERTENCIA"/>
    <m/>
    <s v="LENCOIS PAULISTA"/>
    <n v="7901"/>
    <n v="371068"/>
    <m/>
    <n v="4"/>
    <s v="UA"/>
    <n v="127"/>
    <n v="508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10"/>
    <s v="UA"/>
    <n v="8.5"/>
    <n v="85"/>
  </r>
  <r>
    <x v="383"/>
    <x v="99"/>
    <x v="7"/>
    <x v="9"/>
    <x v="8"/>
    <x v="6"/>
    <s v="0200111"/>
    <s v="SERV CONFECCAO DE ADESIVOS"/>
    <s v="PLACA EM ACM INDICATIVA DE ADVERTENCIA"/>
    <m/>
    <s v="LENCOIS PAULISTA"/>
    <n v="7901"/>
    <n v="371068"/>
    <m/>
    <n v="4"/>
    <s v="UA"/>
    <n v="127"/>
    <n v="508"/>
  </r>
  <r>
    <x v="383"/>
    <x v="99"/>
    <x v="7"/>
    <x v="9"/>
    <x v="8"/>
    <x v="6"/>
    <s v="0200111"/>
    <s v="SERV CONFECCAO DE ADESIVOS"/>
    <s v="PLACA DE SINALIZACAO ADVERTENCIA"/>
    <m/>
    <s v="LENCOIS PAULISTA"/>
    <n v="7901"/>
    <n v="371068"/>
    <m/>
    <n v="10"/>
    <s v="UA"/>
    <n v="67"/>
    <n v="670"/>
  </r>
  <r>
    <x v="383"/>
    <x v="99"/>
    <x v="7"/>
    <x v="9"/>
    <x v="8"/>
    <x v="6"/>
    <s v="0200111"/>
    <s v="SERV CONFECCAO DE ADESIVOS"/>
    <s v="PLACA DE SINALIZACAO SEGURANÇA "/>
    <m/>
    <s v="LENCOIS PAULISTA"/>
    <n v="7901"/>
    <n v="371068"/>
    <m/>
    <n v="4"/>
    <s v="UA"/>
    <n v="47"/>
    <n v="188"/>
  </r>
  <r>
    <x v="383"/>
    <x v="99"/>
    <x v="7"/>
    <x v="9"/>
    <x v="8"/>
    <x v="6"/>
    <s v="0200111"/>
    <s v="SERV CONFECCAO DE ADESIVOS"/>
    <s v="PLACA EM PVC "/>
    <m/>
    <s v="LENCOIS PAULISTA"/>
    <n v="7901"/>
    <n v="371068"/>
    <m/>
    <n v="10"/>
    <s v="UA"/>
    <n v="36"/>
    <n v="360"/>
  </r>
  <r>
    <x v="383"/>
    <x v="99"/>
    <x v="7"/>
    <x v="9"/>
    <x v="8"/>
    <x v="6"/>
    <s v="0200111"/>
    <s v="SERV CONFECCAO DE ADESIVOS"/>
    <s v="PLACA SEGURANÇA EM ACM "/>
    <m/>
    <s v="LENCOIS PAULISTA"/>
    <n v="7901"/>
    <n v="371068"/>
    <m/>
    <n v="1"/>
    <s v="UA"/>
    <n v="67"/>
    <n v="67"/>
  </r>
  <r>
    <x v="383"/>
    <x v="99"/>
    <x v="7"/>
    <x v="9"/>
    <x v="8"/>
    <x v="6"/>
    <s v="0200111"/>
    <s v="SERV CONFECCAO DE ADESIVOS"/>
    <s v="PLACA SINALIZAÇÃO "/>
    <m/>
    <s v="LENCOIS PAULISTA"/>
    <n v="7901"/>
    <n v="371068"/>
    <m/>
    <n v="15"/>
    <s v="UA"/>
    <n v="14.4"/>
    <n v="216"/>
  </r>
  <r>
    <x v="383"/>
    <x v="99"/>
    <x v="7"/>
    <x v="9"/>
    <x v="8"/>
    <x v="6"/>
    <s v="0200111"/>
    <s v="SERV CONFECCAO DE ADESIVOS"/>
    <s v="ADESIVO PADRÃO AUTOMOTIVO"/>
    <m/>
    <s v="LENCOIS PAULISTA"/>
    <n v="7901"/>
    <n v="371068"/>
    <m/>
    <n v="4"/>
    <s v="UA"/>
    <n v="11.5"/>
    <n v="46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4"/>
    <s v="UA"/>
    <n v="30"/>
    <n v="120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2"/>
    <s v="UA"/>
    <n v="67"/>
    <n v="134"/>
  </r>
  <r>
    <x v="383"/>
    <x v="99"/>
    <x v="7"/>
    <x v="9"/>
    <x v="8"/>
    <x v="6"/>
    <s v="0200111"/>
    <s v="SERV CONFECCAO DE ADESIVOS"/>
    <s v="PLACA SINALIZAÇÃO "/>
    <m/>
    <s v="LENCOIS PAULISTA"/>
    <n v="7901"/>
    <n v="371068"/>
    <m/>
    <n v="2"/>
    <s v="UA"/>
    <n v="67"/>
    <n v="134"/>
  </r>
  <r>
    <x v="383"/>
    <x v="99"/>
    <x v="7"/>
    <x v="9"/>
    <x v="8"/>
    <x v="6"/>
    <s v="0200111"/>
    <s v="SERV CONFECCAO DE ADESIVOS"/>
    <s v="PLACA SINALIZAÇÃO "/>
    <m/>
    <s v="LENCOIS PAULISTA"/>
    <n v="7901"/>
    <n v="371068"/>
    <m/>
    <n v="2"/>
    <s v="UA"/>
    <n v="67"/>
    <n v="134"/>
  </r>
  <r>
    <x v="383"/>
    <x v="99"/>
    <x v="7"/>
    <x v="9"/>
    <x v="8"/>
    <x v="6"/>
    <s v="0200111"/>
    <s v="SERV CONFECCAO DE ADESIVOS"/>
    <s v="PLACA SINALIZAÇÃO "/>
    <m/>
    <s v="LENCOIS PAULISTA"/>
    <n v="7901"/>
    <n v="371068"/>
    <m/>
    <n v="2"/>
    <s v="UA"/>
    <n v="67"/>
    <n v="134"/>
  </r>
  <r>
    <x v="383"/>
    <x v="99"/>
    <x v="7"/>
    <x v="9"/>
    <x v="8"/>
    <x v="6"/>
    <s v="0200111"/>
    <s v="SERV CONFECCAO DE ADESIVOS"/>
    <s v="PLACA SINALIZAÇÃO "/>
    <m/>
    <s v="LENCOIS PAULISTA"/>
    <n v="7901"/>
    <n v="371068"/>
    <m/>
    <n v="2"/>
    <s v="UA"/>
    <n v="67"/>
    <n v="134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4"/>
    <s v="UA"/>
    <n v="5"/>
    <n v="20"/>
  </r>
  <r>
    <x v="383"/>
    <x v="99"/>
    <x v="7"/>
    <x v="9"/>
    <x v="8"/>
    <x v="6"/>
    <s v="0200111"/>
    <s v="SERV CONFECCAO DE ADESIVOS"/>
    <s v="PLACA SINALIZAÇÃO "/>
    <m/>
    <s v="LENCOIS PAULISTA"/>
    <n v="7901"/>
    <n v="371068"/>
    <m/>
    <n v="1"/>
    <s v="UA"/>
    <n v="36"/>
    <n v="36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2"/>
    <s v="UA"/>
    <n v="10"/>
    <n v="20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2"/>
    <s v="UA"/>
    <n v="10"/>
    <n v="20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6"/>
    <s v="UA"/>
    <n v="10"/>
    <n v="60"/>
  </r>
  <r>
    <x v="383"/>
    <x v="99"/>
    <x v="7"/>
    <x v="9"/>
    <x v="8"/>
    <x v="6"/>
    <s v="0200111"/>
    <s v="SERV CONFECCAO DE ADESIVOS"/>
    <s v="CAVALETES CONFEC. EM CHAPA DE AÇO "/>
    <m/>
    <s v="LENCOIS PAULISTA"/>
    <n v="7901"/>
    <n v="371068"/>
    <m/>
    <n v="6"/>
    <s v="UA"/>
    <n v="278"/>
    <n v="1668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3"/>
    <s v="UA"/>
    <n v="13"/>
    <n v="39"/>
  </r>
  <r>
    <x v="383"/>
    <x v="99"/>
    <x v="7"/>
    <x v="9"/>
    <x v="8"/>
    <x v="6"/>
    <s v="0200111"/>
    <s v="SERV CONFECCAO DE ADESIVOS"/>
    <s v="ADESIVO EM IMPRESSAO DIGITAL"/>
    <m/>
    <s v="LENCOIS PAULISTA"/>
    <n v="7901"/>
    <n v="371068"/>
    <m/>
    <n v="40"/>
    <s v="UA"/>
    <n v="7.88"/>
    <n v="315.2"/>
  </r>
  <r>
    <x v="383"/>
    <x v="99"/>
    <x v="7"/>
    <x v="9"/>
    <x v="8"/>
    <x v="6"/>
    <s v="0200111"/>
    <s v="SERV CONFECCAO DE ADESIVOS"/>
    <s v="ADESIVO RECORTE AZUL- LOGO BRACELL"/>
    <m/>
    <s v="LENCOIS PAULISTA"/>
    <n v="7901"/>
    <n v="371068"/>
    <m/>
    <n v="12"/>
    <s v="UA"/>
    <n v="7.95"/>
    <n v="95.4"/>
  </r>
  <r>
    <x v="383"/>
    <x v="99"/>
    <x v="7"/>
    <x v="9"/>
    <x v="8"/>
    <x v="6"/>
    <s v="0200111"/>
    <s v="SERV CONFECCAO DE ADESIVOS"/>
    <s v="ADESIVOS NUMERAÇÃO DE FROTAS DOS IMPLEMENTOS "/>
    <m/>
    <s v="LENCOIS PAULISTA"/>
    <n v="7901"/>
    <n v="371068"/>
    <m/>
    <n v="9"/>
    <s v="UA"/>
    <n v="14.9"/>
    <n v="134.1"/>
  </r>
  <r>
    <x v="383"/>
    <x v="99"/>
    <x v="16"/>
    <x v="9"/>
    <x v="8"/>
    <x v="6"/>
    <s v="0200111"/>
    <s v="SERV CONFECCAO DE ADESIVOS"/>
    <s v="ADESIVO LOGO BRACELL P/ CAÇAMBA"/>
    <m/>
    <s v="LENCOIS PAULISTA"/>
    <n v="7901"/>
    <n v="371068"/>
    <m/>
    <n v="8"/>
    <s v="UA"/>
    <n v="117"/>
    <n v="936"/>
  </r>
  <r>
    <x v="383"/>
    <x v="100"/>
    <x v="9"/>
    <x v="9"/>
    <x v="5"/>
    <x v="6"/>
    <s v="0200111"/>
    <s v="SERV CONFECCAO DE ADESIVOS"/>
    <s v="BANNER EM LONA - SEGURANÇA -PADRÃO BRACELL -ACABAMENTO BASTÃO CORDA E PONTEIRA"/>
    <m/>
    <s v="LENCOIS PAULISTA"/>
    <n v="7901"/>
    <n v="371045"/>
    <m/>
    <n v="1"/>
    <s v="UA"/>
    <n v="130"/>
    <n v="130"/>
  </r>
  <r>
    <x v="383"/>
    <x v="100"/>
    <x v="9"/>
    <x v="9"/>
    <x v="5"/>
    <x v="6"/>
    <s v="0200111"/>
    <s v="SERV CONFECCAO DE ADESIVOS"/>
    <s v="PLACA DE SINALIZAÇÃO "/>
    <m/>
    <s v="LENCOIS PAULISTA"/>
    <n v="7901"/>
    <n v="371045"/>
    <m/>
    <n v="1"/>
    <s v="UA"/>
    <n v="127"/>
    <n v="127"/>
  </r>
  <r>
    <x v="383"/>
    <x v="81"/>
    <x v="9"/>
    <x v="9"/>
    <x v="2"/>
    <x v="6"/>
    <s v="0200111"/>
    <s v="SERV CONFECCAO DE ADESIVOS"/>
    <s v="CAVALETE INDICATIVO- APLICAÇÃO AGROTÓXICOS "/>
    <m/>
    <s v="LENCOIS PAULISTA"/>
    <n v="7901"/>
    <n v="371075"/>
    <m/>
    <n v="4"/>
    <s v="UA"/>
    <n v="278"/>
    <n v="1112"/>
  </r>
  <r>
    <x v="383"/>
    <x v="81"/>
    <x v="9"/>
    <x v="9"/>
    <x v="2"/>
    <x v="6"/>
    <s v="0200111"/>
    <s v="SERV CONFECCAO DE ADESIVOS"/>
    <s v="ADESIVO EM IMPRESSAO DIGITAL"/>
    <m/>
    <s v="LENCOIS PAULISTA"/>
    <n v="7901"/>
    <n v="371075"/>
    <m/>
    <n v="2"/>
    <s v="UA"/>
    <n v="9"/>
    <n v="18"/>
  </r>
  <r>
    <x v="383"/>
    <x v="101"/>
    <x v="15"/>
    <x v="9"/>
    <x v="3"/>
    <x v="6"/>
    <s v="0200111"/>
    <s v="SERV CONFECCAO DE ADESIVOS"/>
    <s v="PLACA EM ACM - INDICATIVA/ ADVERTÊNCIA "/>
    <m/>
    <s v="LENCOIS PAULISTA"/>
    <n v="7901"/>
    <n v="371055"/>
    <m/>
    <n v="2"/>
    <s v="UA"/>
    <n v="127"/>
    <n v="254"/>
  </r>
  <r>
    <x v="383"/>
    <x v="101"/>
    <x v="15"/>
    <x v="9"/>
    <x v="3"/>
    <x v="6"/>
    <s v="0200111"/>
    <s v="SERV CONFECCAO DE ADESIVOS"/>
    <s v="PLACA EM ACM - INDICATIVA/ ADVERTÊNCIA "/>
    <m/>
    <s v="LENCOIS PAULISTA"/>
    <n v="7901"/>
    <n v="371055"/>
    <m/>
    <n v="2"/>
    <s v="UA"/>
    <n v="127"/>
    <n v="254"/>
  </r>
  <r>
    <x v="383"/>
    <x v="101"/>
    <x v="15"/>
    <x v="9"/>
    <x v="3"/>
    <x v="6"/>
    <s v="0200111"/>
    <s v="SERV CONFECCAO DE ADESIVOS"/>
    <s v="PLACA EM ACM - INDICATIVA/ ADVERTÊNCIA "/>
    <m/>
    <s v="LENCOIS PAULISTA"/>
    <n v="7901"/>
    <n v="371055"/>
    <m/>
    <n v="2"/>
    <s v="UA"/>
    <n v="127"/>
    <n v="254"/>
  </r>
  <r>
    <x v="383"/>
    <x v="101"/>
    <x v="15"/>
    <x v="9"/>
    <x v="3"/>
    <x v="6"/>
    <s v="0200111"/>
    <s v="SERV CONFECCAO DE ADESIVOS"/>
    <s v="PLACA EM ACM - INDICATIVA/ ADVERTÊNCIA "/>
    <m/>
    <s v="LENCOIS PAULISTA"/>
    <n v="7901"/>
    <n v="371055"/>
    <m/>
    <n v="3"/>
    <s v="UA"/>
    <n v="127"/>
    <n v="381"/>
  </r>
  <r>
    <x v="383"/>
    <x v="101"/>
    <x v="15"/>
    <x v="9"/>
    <x v="3"/>
    <x v="6"/>
    <s v="0200111"/>
    <s v="SERV CONFECCAO DE ADESIVOS"/>
    <s v="PLACA EM ACM - INDICATIVA/ ADVERTÊNCIA "/>
    <m/>
    <s v="LENCOIS PAULISTA"/>
    <n v="7901"/>
    <n v="371055"/>
    <m/>
    <n v="2"/>
    <s v="UA"/>
    <n v="127"/>
    <n v="254"/>
  </r>
  <r>
    <x v="383"/>
    <x v="101"/>
    <x v="15"/>
    <x v="9"/>
    <x v="3"/>
    <x v="6"/>
    <s v="0200111"/>
    <s v="SERV CONFECCAO DE ADESIVOS"/>
    <s v="CAVALETE INDICATIVO- APLICAÇÃO AGROTÓXICOS "/>
    <m/>
    <s v="LENCOIS PAULISTA"/>
    <n v="7901"/>
    <n v="371055"/>
    <m/>
    <n v="2"/>
    <s v="UA"/>
    <n v="278"/>
    <n v="556"/>
  </r>
  <r>
    <x v="383"/>
    <x v="101"/>
    <x v="15"/>
    <x v="9"/>
    <x v="3"/>
    <x v="6"/>
    <s v="0200111"/>
    <s v="SERV CONFECCAO DE ADESIVOS"/>
    <s v="PLACA DE SINALIZAÇÃO ADVERTÊNCIA- ÁREA DE VIVÊNCIA "/>
    <m/>
    <s v="LENCOIS PAULISTA"/>
    <n v="7901"/>
    <n v="371055"/>
    <m/>
    <n v="2"/>
    <s v="UA"/>
    <n v="278"/>
    <n v="556"/>
  </r>
  <r>
    <x v="383"/>
    <x v="101"/>
    <x v="15"/>
    <x v="9"/>
    <x v="3"/>
    <x v="6"/>
    <s v="0200111"/>
    <s v="SERV CONFECCAO DE ADESIVOS"/>
    <s v="CAVALETES EM METALON "/>
    <m/>
    <s v="LENCOIS PAULISTA"/>
    <n v="7901"/>
    <n v="371055"/>
    <m/>
    <n v="2"/>
    <s v="UA"/>
    <n v="317"/>
    <n v="634"/>
  </r>
  <r>
    <x v="383"/>
    <x v="101"/>
    <x v="15"/>
    <x v="9"/>
    <x v="3"/>
    <x v="6"/>
    <s v="0200111"/>
    <s v="SERV CONFECCAO DE ADESIVOS"/>
    <s v="CAVALETES CONFEC. EM CHAPA DE AÇO "/>
    <m/>
    <s v="LENCOIS PAULISTA"/>
    <n v="7901"/>
    <n v="371055"/>
    <m/>
    <n v="2"/>
    <s v="UA"/>
    <n v="278"/>
    <n v="556"/>
  </r>
  <r>
    <x v="383"/>
    <x v="101"/>
    <x v="15"/>
    <x v="9"/>
    <x v="3"/>
    <x v="6"/>
    <s v="0200111"/>
    <s v="SERV CONFECCAO DE ADESIVOS"/>
    <s v="PLACA DE SINALIZAÇÃO - ADVERTÊNCIA "/>
    <m/>
    <s v="LENCOIS PAULISTA"/>
    <n v="7901"/>
    <n v="371055"/>
    <m/>
    <n v="2"/>
    <s v="UA"/>
    <n v="278"/>
    <n v="556"/>
  </r>
  <r>
    <x v="383"/>
    <x v="101"/>
    <x v="15"/>
    <x v="9"/>
    <x v="3"/>
    <x v="6"/>
    <s v="0200111"/>
    <s v="SERV CONFECCAO DE ADESIVOS"/>
    <s v="QUADRO DE GESTÃO A VISTA EM ACM"/>
    <m/>
    <s v="LENCOIS PAULISTA"/>
    <n v="7901"/>
    <n v="371055"/>
    <m/>
    <n v="3"/>
    <s v="UA"/>
    <n v="377"/>
    <n v="1131"/>
  </r>
  <r>
    <x v="383"/>
    <x v="101"/>
    <x v="15"/>
    <x v="9"/>
    <x v="3"/>
    <x v="6"/>
    <s v="0200111"/>
    <s v="SERV CONFECCAO DE ADESIVOS"/>
    <s v="CAVALETES EM METALON "/>
    <m/>
    <s v="LENCOIS PAULISTA"/>
    <n v="7901"/>
    <n v="371055"/>
    <m/>
    <n v="2"/>
    <s v="UA"/>
    <n v="317"/>
    <n v="634"/>
  </r>
  <r>
    <x v="383"/>
    <x v="101"/>
    <x v="15"/>
    <x v="9"/>
    <x v="3"/>
    <x v="6"/>
    <s v="0200111"/>
    <s v="SERV CONFECCAO DE ADESIVOS"/>
    <s v="CAVALETES CONFEC. EM CHAPA DE AÇO "/>
    <m/>
    <s v="LENCOIS PAULISTA"/>
    <n v="7901"/>
    <n v="371055"/>
    <m/>
    <n v="2"/>
    <s v="UA"/>
    <n v="278"/>
    <n v="556"/>
  </r>
  <r>
    <x v="383"/>
    <x v="102"/>
    <x v="15"/>
    <x v="9"/>
    <x v="10"/>
    <x v="6"/>
    <s v="0200111"/>
    <s v="SERV CONFECCAO DE ADESIVOS"/>
    <s v="ADESIVO DE FROTA 37X12 cm  RECORTE PRETO VINIL"/>
    <m/>
    <s v="LENCOIS PAULISTA"/>
    <n v="7901"/>
    <n v="375030"/>
    <m/>
    <n v="10"/>
    <s v="UA"/>
    <n v="14"/>
    <n v="140"/>
  </r>
  <r>
    <x v="383"/>
    <x v="102"/>
    <x v="15"/>
    <x v="9"/>
    <x v="5"/>
    <x v="6"/>
    <s v="0200111"/>
    <s v="SERV CONFECCAO DE ADESIVOS"/>
    <s v="CAIXA PARA RESIDUOS"/>
    <m/>
    <s v="LENCOIS PAULISTA"/>
    <n v="7901"/>
    <n v="371045"/>
    <m/>
    <n v="1"/>
    <s v="UA"/>
    <n v="238"/>
    <n v="238"/>
  </r>
  <r>
    <x v="383"/>
    <x v="102"/>
    <x v="15"/>
    <x v="9"/>
    <x v="5"/>
    <x v="6"/>
    <s v="0200111"/>
    <s v="SERV CONFECCAO DE ADESIVOS"/>
    <s v="IMOBILIZADOR DE CABECA HEAD BLOCK"/>
    <m/>
    <s v="LENCOIS PAULISTA"/>
    <n v="7901"/>
    <n v="371045"/>
    <m/>
    <n v="1"/>
    <s v="UA"/>
    <n v="320"/>
    <n v="320"/>
  </r>
  <r>
    <x v="383"/>
    <x v="103"/>
    <x v="15"/>
    <x v="9"/>
    <x v="4"/>
    <x v="6"/>
    <s v="0200111"/>
    <s v="SERV CONFECCAO DE ADESIVOS"/>
    <s v="ADESIVO EM IMPRESSAO DIGITAL"/>
    <m/>
    <s v="LENCOIS PAULISTA"/>
    <n v="7901"/>
    <n v="371065"/>
    <m/>
    <n v="1"/>
    <s v="UA"/>
    <n v="30"/>
    <n v="30"/>
  </r>
  <r>
    <x v="383"/>
    <x v="103"/>
    <x v="15"/>
    <x v="9"/>
    <x v="4"/>
    <x v="6"/>
    <s v="0200111"/>
    <s v="SERV CONFECCAO DE ADESIVOS"/>
    <s v="ADESIVO ABELHA "/>
    <m/>
    <s v="LENCOIS PAULISTA"/>
    <n v="7901"/>
    <n v="371065"/>
    <m/>
    <n v="1"/>
    <s v="UA"/>
    <n v="30"/>
    <n v="30"/>
  </r>
  <r>
    <x v="383"/>
    <x v="103"/>
    <x v="15"/>
    <x v="9"/>
    <x v="4"/>
    <x v="6"/>
    <s v="0200111"/>
    <s v="SERV CONFECCAO DE ADESIVOS"/>
    <s v="ADESIVO EM IMPRESSAO DIGITAL"/>
    <m/>
    <s v="LENCOIS PAULISTA"/>
    <n v="7901"/>
    <n v="371065"/>
    <m/>
    <n v="1"/>
    <s v="UA"/>
    <n v="30"/>
    <n v="30"/>
  </r>
  <r>
    <x v="383"/>
    <x v="103"/>
    <x v="15"/>
    <x v="9"/>
    <x v="4"/>
    <x v="6"/>
    <s v="0200111"/>
    <s v="SERV CONFECCAO DE ADESIVOS"/>
    <s v="ADESIVO DE EXTINTORES EM VINIL"/>
    <m/>
    <s v="LENCOIS PAULISTA"/>
    <n v="7901"/>
    <n v="371065"/>
    <m/>
    <n v="1"/>
    <s v="UA"/>
    <n v="14.9"/>
    <n v="14.9"/>
  </r>
  <r>
    <x v="383"/>
    <x v="103"/>
    <x v="15"/>
    <x v="9"/>
    <x v="4"/>
    <x v="6"/>
    <s v="0200111"/>
    <s v="SERV CONFECCAO DE ADESIVOS"/>
    <s v="ADESIVOS/ PS- CHAPA - MODELOS DIVERSOS "/>
    <m/>
    <s v="LENCOIS PAULISTA"/>
    <n v="7901"/>
    <n v="371065"/>
    <m/>
    <n v="1"/>
    <s v="UA"/>
    <n v="30"/>
    <n v="30"/>
  </r>
  <r>
    <x v="383"/>
    <x v="103"/>
    <x v="15"/>
    <x v="9"/>
    <x v="4"/>
    <x v="6"/>
    <s v="0200111"/>
    <s v="SERV CONFECCAO DE ADESIVOS"/>
    <s v="ADESIVO PADRÃO BRACELL FLORESTAL "/>
    <m/>
    <s v="LENCOIS PAULISTA"/>
    <n v="7901"/>
    <n v="371065"/>
    <m/>
    <n v="1"/>
    <s v="UA"/>
    <n v="3.5"/>
    <n v="3.5"/>
  </r>
  <r>
    <x v="383"/>
    <x v="103"/>
    <x v="15"/>
    <x v="9"/>
    <x v="4"/>
    <x v="6"/>
    <s v="0200111"/>
    <s v="SERV CONFECCAO DE ADESIVOS"/>
    <s v="ADESIVO DEGRAU"/>
    <m/>
    <s v="LENCOIS PAULISTA"/>
    <n v="7901"/>
    <n v="371065"/>
    <m/>
    <n v="5"/>
    <s v="UA"/>
    <n v="12"/>
    <n v="60"/>
  </r>
  <r>
    <x v="383"/>
    <x v="103"/>
    <x v="15"/>
    <x v="9"/>
    <x v="4"/>
    <x v="6"/>
    <s v="0200111"/>
    <s v="SERV CONFECCAO DE ADESIVOS"/>
    <s v="ADESIVOS/ PS- CHAPA - MODELOS DIVERSOS "/>
    <m/>
    <s v="LENCOIS PAULISTA"/>
    <n v="7901"/>
    <n v="371065"/>
    <m/>
    <n v="1"/>
    <s v="UA"/>
    <n v="30"/>
    <n v="30"/>
  </r>
  <r>
    <x v="383"/>
    <x v="103"/>
    <x v="15"/>
    <x v="9"/>
    <x v="4"/>
    <x v="6"/>
    <s v="0200111"/>
    <s v="SERV CONFECCAO DE ADESIVOS"/>
    <s v="ADESIVO RECORTE AZUL- LOGO BRACELL"/>
    <m/>
    <s v="LENCOIS PAULISTA"/>
    <n v="7901"/>
    <n v="371065"/>
    <m/>
    <n v="2"/>
    <s v="UA"/>
    <n v="7.95"/>
    <n v="15.9"/>
  </r>
  <r>
    <x v="383"/>
    <x v="103"/>
    <x v="15"/>
    <x v="9"/>
    <x v="4"/>
    <x v="6"/>
    <s v="0200111"/>
    <s v="SERV CONFECCAO DE ADESIVOS"/>
    <s v="ADESIVO EM IMPRESSAO DIGITAL"/>
    <m/>
    <s v="LENCOIS PAULISTA"/>
    <n v="7901"/>
    <n v="371065"/>
    <m/>
    <n v="1"/>
    <s v="UA"/>
    <n v="520"/>
    <n v="520"/>
  </r>
  <r>
    <x v="383"/>
    <x v="103"/>
    <x v="15"/>
    <x v="9"/>
    <x v="4"/>
    <x v="6"/>
    <s v="0200111"/>
    <s v="SERV CONFECCAO DE ADESIVOS"/>
    <s v="PLACA EM ACM- INDICATIVA / ADVERTÊNCIA "/>
    <m/>
    <s v="LENCOIS PAULISTA"/>
    <n v="7901"/>
    <n v="371065"/>
    <m/>
    <n v="1"/>
    <s v="UA"/>
    <n v="127"/>
    <n v="127"/>
  </r>
  <r>
    <x v="383"/>
    <x v="103"/>
    <x v="15"/>
    <x v="9"/>
    <x v="4"/>
    <x v="6"/>
    <s v="0200111"/>
    <s v="SERV CONFECCAO DE ADESIVOS"/>
    <s v="PLACA EM ACM- INDICATIVA / ADVERTÊNCIA "/>
    <m/>
    <s v="LENCOIS PAULISTA"/>
    <n v="7901"/>
    <n v="371065"/>
    <m/>
    <n v="1"/>
    <s v="UA"/>
    <n v="127"/>
    <n v="127"/>
  </r>
  <r>
    <x v="383"/>
    <x v="103"/>
    <x v="15"/>
    <x v="9"/>
    <x v="4"/>
    <x v="6"/>
    <s v="0200111"/>
    <s v="SERV CONFECCAO DE ADESIVOS"/>
    <s v="CAVALETES CONFEC. EM CHAPA DE AÇO "/>
    <m/>
    <s v="LENCOIS PAULISTA"/>
    <n v="7901"/>
    <n v="371065"/>
    <m/>
    <n v="3"/>
    <s v="UA"/>
    <n v="278"/>
    <n v="834"/>
  </r>
  <r>
    <x v="383"/>
    <x v="103"/>
    <x v="15"/>
    <x v="9"/>
    <x v="4"/>
    <x v="6"/>
    <s v="0200111"/>
    <s v="SERV CONFECCAO DE ADESIVOS"/>
    <s v="CAVALETES CONFEC. EM CHAPA DE AÇO "/>
    <m/>
    <s v="LENCOIS PAULISTA"/>
    <n v="7901"/>
    <n v="371065"/>
    <m/>
    <n v="4"/>
    <s v="UA"/>
    <n v="278"/>
    <n v="1112"/>
  </r>
  <r>
    <x v="383"/>
    <x v="103"/>
    <x v="15"/>
    <x v="9"/>
    <x v="4"/>
    <x v="6"/>
    <s v="0200111"/>
    <s v="SERV CONFECCAO DE ADESIVOS"/>
    <s v="QUADRO DE GESTÃO A VISTA EM ACM"/>
    <m/>
    <s v="LENCOIS PAULISTA"/>
    <n v="7901"/>
    <n v="371065"/>
    <m/>
    <n v="1"/>
    <s v="UA"/>
    <n v="377"/>
    <n v="377"/>
  </r>
  <r>
    <x v="383"/>
    <x v="104"/>
    <x v="8"/>
    <x v="9"/>
    <x v="2"/>
    <x v="6"/>
    <s v="0200111"/>
    <s v="SERV CONFECCAO DE ADESIVOS"/>
    <s v="BANNER EM LONA - SEGURANÇA -PADRÃO BRACELL (DAILY MANAGEMENT)"/>
    <m/>
    <s v="LENCOIS PAULISTA"/>
    <n v="7901"/>
    <n v="371075"/>
    <m/>
    <n v="4"/>
    <s v="UA"/>
    <n v="377"/>
    <n v="1508"/>
  </r>
  <r>
    <x v="383"/>
    <x v="103"/>
    <x v="7"/>
    <x v="9"/>
    <x v="10"/>
    <x v="6"/>
    <s v="0200111"/>
    <s v="SERV CONFECCAO DE ADESIVOS"/>
    <s v="BANNER EM LONA - SEGURANÇA -PADRÃO BRACELL -ACABAMENTO BASTÃO CORDA E PONTEIRA"/>
    <m/>
    <s v="LENCOIS PAULISTA"/>
    <n v="7901"/>
    <n v="375030"/>
    <m/>
    <n v="1"/>
    <s v="UA"/>
    <n v="167"/>
    <n v="167"/>
  </r>
  <r>
    <x v="383"/>
    <x v="105"/>
    <x v="8"/>
    <x v="9"/>
    <x v="4"/>
    <x v="6"/>
    <s v="0200111"/>
    <s v="SERV CONFECCAO DE ADESIVOS"/>
    <s v="BANNER EM LONA - SEGURANÇA -PADRÃO BRACELL (DAILY MANAGEMENT)"/>
    <m/>
    <s v="LENCOIS PAULISTA"/>
    <n v="7901"/>
    <n v="371065"/>
    <m/>
    <n v="2"/>
    <s v="UA"/>
    <n v="377"/>
    <n v="754"/>
  </r>
  <r>
    <x v="383"/>
    <x v="106"/>
    <x v="9"/>
    <x v="9"/>
    <x v="5"/>
    <x v="6"/>
    <s v="0200111"/>
    <s v="SERV CONFECCAO DE ADESIVOS"/>
    <s v="BANNER EM LONA - SEGURANÇA -PADRÃO BRACELL (DAILY MANAGEMENT)"/>
    <m/>
    <s v="LENCOIS PAULISTA"/>
    <n v="7901"/>
    <n v="371045"/>
    <m/>
    <n v="2"/>
    <s v="UA"/>
    <n v="377"/>
    <n v="754"/>
  </r>
  <r>
    <x v="383"/>
    <x v="76"/>
    <x v="8"/>
    <x v="9"/>
    <x v="2"/>
    <x v="6"/>
    <s v="0200111"/>
    <s v="SERV CONFECCAO DE ADESIVOS"/>
    <s v="BANNER EM LONA - SEGURANÇA -PADRÃO BRACELL (DAILY MANAGEMENT)"/>
    <m/>
    <s v="LENCOIS PAULISTA"/>
    <n v="7901"/>
    <n v="371094"/>
    <m/>
    <n v="2"/>
    <s v="UA"/>
    <n v="377"/>
    <n v="754"/>
  </r>
  <r>
    <x v="383"/>
    <x v="76"/>
    <x v="8"/>
    <x v="9"/>
    <x v="3"/>
    <x v="6"/>
    <s v="0200111"/>
    <s v="SERV CONFECCAO DE ADESIVOS"/>
    <s v="BANNER EM LONA - SEGURANÇA -PADRÃO BRACELL (DAILY MANAGEMENT)"/>
    <m/>
    <s v="LENCOIS PAULISTA"/>
    <n v="7901"/>
    <n v="375040"/>
    <m/>
    <n v="2"/>
    <s v="UA"/>
    <n v="377"/>
    <n v="754"/>
  </r>
  <r>
    <x v="383"/>
    <x v="76"/>
    <x v="8"/>
    <x v="9"/>
    <x v="10"/>
    <x v="6"/>
    <s v="0200111"/>
    <s v="SERV CONFECCAO DE ADESIVOS"/>
    <s v="BANNER EM LONA - SEGURANÇA -PADRÃO BRACELL (DAILY MANAGEMENT)"/>
    <m/>
    <s v="LENCOIS PAULISTA"/>
    <n v="7901"/>
    <n v="371030"/>
    <m/>
    <n v="2"/>
    <s v="UA"/>
    <n v="377"/>
    <n v="754"/>
  </r>
  <r>
    <x v="383"/>
    <x v="76"/>
    <x v="8"/>
    <x v="9"/>
    <x v="3"/>
    <x v="6"/>
    <s v="0200111"/>
    <s v="SERV CONFECCAO DE ADESIVOS"/>
    <s v="BANNER EM LONA - SEGURANÇA -PADRÃO BRACELL (DAILY MANAGEMENT)"/>
    <m/>
    <s v="LENCOIS PAULISTA"/>
    <n v="7901"/>
    <n v="371055"/>
    <m/>
    <n v="2"/>
    <s v="UA"/>
    <n v="377"/>
    <n v="754"/>
  </r>
  <r>
    <x v="383"/>
    <x v="76"/>
    <x v="8"/>
    <x v="9"/>
    <x v="2"/>
    <x v="6"/>
    <s v="0200111"/>
    <s v="SERV CONFECCAO DE ADESIVOS"/>
    <s v="BANNER EM LONA - SEGURANÇA -PADRÃO BRACELL (DAILY MANAGEMENT)"/>
    <m/>
    <s v="LENCOIS PAULISTA"/>
    <n v="7901"/>
    <n v="371065"/>
    <m/>
    <n v="2"/>
    <s v="UA"/>
    <n v="377"/>
    <n v="754"/>
  </r>
  <r>
    <x v="383"/>
    <x v="76"/>
    <x v="8"/>
    <x v="9"/>
    <x v="8"/>
    <x v="6"/>
    <s v="0200111"/>
    <s v="SERV CONFECCAO DE ADESIVOS"/>
    <s v="BANNER EM LONA - SEGURANÇA -PADRÃO BRACELL (DAILY MANAGEMENT)"/>
    <m/>
    <s v="LENCOIS PAULISTA"/>
    <n v="7901"/>
    <n v="371068"/>
    <m/>
    <n v="1"/>
    <s v="UA"/>
    <n v="377"/>
    <n v="377"/>
  </r>
  <r>
    <x v="383"/>
    <x v="102"/>
    <x v="15"/>
    <x v="2"/>
    <x v="4"/>
    <x v="1"/>
    <n v="1000238"/>
    <s v="SERV DESP PEDAGIO"/>
    <s v="PEDAGIO FRETE FAZ. SALTO DO LONTRA x  FAZ. CABREUVA"/>
    <m/>
    <s v="LENCOIS PAULISTA"/>
    <n v="7901"/>
    <n v="371065"/>
    <m/>
    <n v="1"/>
    <s v="UA"/>
    <n v="269.42"/>
    <n v="269.42"/>
  </r>
  <r>
    <x v="383"/>
    <x v="102"/>
    <x v="15"/>
    <x v="0"/>
    <x v="4"/>
    <x v="1"/>
    <n v="1000287"/>
    <s v="SERV FRETE CAMINHAO PRANCHA AGRIC"/>
    <s v="FRETE  FRETE FAZ. SALTO DO LONTRA x FAZ. CABREUVA "/>
    <n v="7002"/>
    <s v="AGUDOS"/>
    <s v="0057"/>
    <n v="371065"/>
    <m/>
    <n v="352"/>
    <s v="KM"/>
    <n v="12.28"/>
    <n v="4322.5599999999995"/>
  </r>
  <r>
    <x v="383"/>
    <x v="107"/>
    <x v="15"/>
    <x v="2"/>
    <x v="4"/>
    <x v="1"/>
    <n v="1000238"/>
    <s v="SERV DESP PEDAGIO"/>
    <s v="PEDAGIO FRETE FAZ. CABREUVA X FAZ. IPE II "/>
    <m/>
    <s v="LENCOIS PAULISTA"/>
    <n v="7901"/>
    <n v="371065"/>
    <m/>
    <n v="1"/>
    <s v="UA"/>
    <n v="0"/>
    <n v="0"/>
  </r>
  <r>
    <x v="383"/>
    <x v="107"/>
    <x v="15"/>
    <x v="0"/>
    <x v="4"/>
    <x v="1"/>
    <n v="1000287"/>
    <s v="SERV FRETE CAMINHAO PRANCHA AGRIC"/>
    <s v="FRETE  FRETE  FAZ. CABREUVA x FAZ. IPE II "/>
    <n v="7002"/>
    <s v="AGUDOS"/>
    <s v="0271"/>
    <n v="371065"/>
    <m/>
    <n v="125"/>
    <s v="KM"/>
    <n v="12.28"/>
    <n v="1535"/>
  </r>
  <r>
    <x v="383"/>
    <x v="97"/>
    <x v="15"/>
    <x v="2"/>
    <x v="4"/>
    <x v="1"/>
    <n v="1000238"/>
    <s v="SERV DESP PEDAGIO"/>
    <s v="PEDAGIO FRETE FAZ. CABREUVA X FAZ. IPE II "/>
    <m/>
    <s v="LENCOIS PAULISTA"/>
    <n v="7901"/>
    <n v="371094"/>
    <m/>
    <n v="1"/>
    <s v="UA"/>
    <n v="0"/>
    <n v="0"/>
  </r>
  <r>
    <x v="383"/>
    <x v="97"/>
    <x v="15"/>
    <x v="0"/>
    <x v="4"/>
    <x v="1"/>
    <n v="1000287"/>
    <s v="SERV FRETE CAMINHAO PRANCHA AGRIC"/>
    <s v="FRETE  FRETE  FAZ. CABREUVA x FAZ. IPE II "/>
    <n v="7002"/>
    <s v="AGUDOS"/>
    <s v="0271"/>
    <n v="371094"/>
    <m/>
    <n v="125"/>
    <s v="KM"/>
    <n v="12.28"/>
    <n v="1535"/>
  </r>
  <r>
    <x v="383"/>
    <x v="97"/>
    <x v="15"/>
    <x v="2"/>
    <x v="4"/>
    <x v="1"/>
    <n v="1000238"/>
    <s v="SERV DESP PEDAGIO"/>
    <s v="PEDAGIO FRETE FAZ. CABREUVA X FAZ. IPE II "/>
    <m/>
    <s v="LENCOIS PAULISTA"/>
    <n v="7901"/>
    <n v="371094"/>
    <m/>
    <n v="1"/>
    <s v="UA"/>
    <n v="0"/>
    <n v="0"/>
  </r>
  <r>
    <x v="383"/>
    <x v="97"/>
    <x v="15"/>
    <x v="0"/>
    <x v="4"/>
    <x v="1"/>
    <n v="1000287"/>
    <s v="SERV FRETE CAMINHAO PRANCHA AGRIC"/>
    <s v="FRETE  FRETE  FAZ. CABREUVA x FAZ. IPE II "/>
    <n v="7002"/>
    <s v="AGUDOS"/>
    <s v="0271"/>
    <n v="371094"/>
    <m/>
    <n v="125"/>
    <s v="KM"/>
    <n v="12.28"/>
    <n v="1535"/>
  </r>
  <r>
    <x v="383"/>
    <x v="98"/>
    <x v="15"/>
    <x v="2"/>
    <x v="4"/>
    <x v="1"/>
    <n v="1000238"/>
    <s v="SERV DESP PEDAGIO"/>
    <s v="PEDAGIO FRETE FAZ. CABREUVA X FAZ. IPE II "/>
    <m/>
    <s v="LENCOIS PAULISTA"/>
    <n v="7901"/>
    <n v="371045"/>
    <m/>
    <n v="1"/>
    <s v="UA"/>
    <n v="0"/>
    <n v="0"/>
  </r>
  <r>
    <x v="383"/>
    <x v="98"/>
    <x v="15"/>
    <x v="0"/>
    <x v="4"/>
    <x v="1"/>
    <n v="1000287"/>
    <s v="SERV FRETE CAMINHAO PRANCHA AGRIC"/>
    <s v="FRETE  FRETE  FAZ. CABREUVA x FAZ. IPE II "/>
    <n v="7002"/>
    <s v="AGUDOS"/>
    <s v="0271"/>
    <n v="371045"/>
    <m/>
    <n v="125"/>
    <s v="KM"/>
    <n v="12.28"/>
    <n v="1535"/>
  </r>
  <r>
    <x v="383"/>
    <x v="108"/>
    <x v="15"/>
    <x v="2"/>
    <x v="11"/>
    <x v="1"/>
    <n v="1000238"/>
    <s v="SERV DESP PEDAGIO"/>
    <s v="PEDAGIO FRETE FAZ. PALMEIRAS X  FAZ. LAGOA DA ANTA "/>
    <m/>
    <s v="LENCOIS PAULISTA"/>
    <n v="7901"/>
    <n v="371094"/>
    <m/>
    <n v="1"/>
    <s v="UA"/>
    <n v="1305.5999999999999"/>
    <n v="1305.5999999999999"/>
  </r>
  <r>
    <x v="383"/>
    <x v="108"/>
    <x v="15"/>
    <x v="0"/>
    <x v="11"/>
    <x v="1"/>
    <n v="1000287"/>
    <s v="SERV FRETE CAMINHAO PRANCHA AGRIC"/>
    <s v="FRETE  FRETE FAZ. PALMEIRAS X  FAZ. LAGOA DA ANTA "/>
    <n v="6007"/>
    <s v=" RIBAS DO RIO PARDO"/>
    <n v="6236"/>
    <n v="371094"/>
    <m/>
    <n v="1682"/>
    <s v="KM"/>
    <n v="12.28"/>
    <n v="20654.96"/>
  </r>
  <r>
    <x v="383"/>
    <x v="108"/>
    <x v="15"/>
    <x v="7"/>
    <x v="11"/>
    <x v="1"/>
    <s v="0000000"/>
    <s v="SEGURO"/>
    <s v="SEGURO"/>
    <m/>
    <s v="LENCOIS PAULISTA"/>
    <n v="7901"/>
    <n v="371094"/>
    <m/>
    <n v="1"/>
    <s v="UA"/>
    <n v="455"/>
    <n v="455"/>
  </r>
  <r>
    <x v="383"/>
    <x v="108"/>
    <x v="15"/>
    <x v="2"/>
    <x v="11"/>
    <x v="1"/>
    <n v="1000238"/>
    <s v="SERV DESP PEDAGIO"/>
    <s v="PEDAGIO FRETE FAZ. PALMEIRAS X  FAZ. LAGOA DA ANTA "/>
    <m/>
    <s v="LENCOIS PAULISTA"/>
    <n v="7901"/>
    <n v="371094"/>
    <m/>
    <n v="1"/>
    <s v="UA"/>
    <n v="1313.1"/>
    <n v="1313.1"/>
  </r>
  <r>
    <x v="383"/>
    <x v="108"/>
    <x v="15"/>
    <x v="0"/>
    <x v="11"/>
    <x v="1"/>
    <n v="1000287"/>
    <s v="SERV FRETE CAMINHAO PRANCHA AGRIC"/>
    <s v="FRETE  FRETE FAZ. PALMEIRAS X  FAZ. LAGOA DA ANTA "/>
    <n v="6007"/>
    <s v=" RIBAS DO RIO PARDO"/>
    <n v="6236"/>
    <n v="371094"/>
    <m/>
    <n v="1683"/>
    <s v="KM"/>
    <n v="12.28"/>
    <n v="20667.239999999998"/>
  </r>
  <r>
    <x v="383"/>
    <x v="108"/>
    <x v="15"/>
    <x v="7"/>
    <x v="11"/>
    <x v="1"/>
    <s v="0000000"/>
    <s v="SEGURO"/>
    <s v="SEGURO"/>
    <m/>
    <s v="LENCOIS PAULISTA"/>
    <n v="7901"/>
    <n v="371094"/>
    <m/>
    <n v="1"/>
    <s v="UA"/>
    <n v="630"/>
    <n v="630"/>
  </r>
  <r>
    <x v="383"/>
    <x v="108"/>
    <x v="15"/>
    <x v="2"/>
    <x v="11"/>
    <x v="1"/>
    <n v="1000238"/>
    <s v="SERV DESP PEDAGIO"/>
    <s v="PEDAGIO FRETE FAZ. PALMEIRAS X  FAZ. LAGOA DA ANTA "/>
    <m/>
    <s v="LENCOIS PAULISTA"/>
    <n v="7901"/>
    <n v="371094"/>
    <m/>
    <n v="1"/>
    <s v="UA"/>
    <n v="1232.0999999999999"/>
    <n v="1232.0999999999999"/>
  </r>
  <r>
    <x v="383"/>
    <x v="108"/>
    <x v="15"/>
    <x v="0"/>
    <x v="11"/>
    <x v="1"/>
    <n v="1000287"/>
    <s v="SERV FRETE CAMINHAO PRANCHA AGRIC"/>
    <s v="FRETE  FRETE FAZ. PALMEIRAS X  FAZ. LAGOA DA ANTA "/>
    <n v="6007"/>
    <s v=" RIBAS DO RIO PARDO"/>
    <n v="6236"/>
    <n v="371094"/>
    <m/>
    <n v="1683"/>
    <s v="KM"/>
    <n v="12.28"/>
    <n v="20667.239999999998"/>
  </r>
  <r>
    <x v="383"/>
    <x v="108"/>
    <x v="15"/>
    <x v="7"/>
    <x v="11"/>
    <x v="1"/>
    <s v="0000000"/>
    <s v="SEGURO"/>
    <s v="SEGURO"/>
    <m/>
    <s v="LENCOIS PAULISTA"/>
    <n v="7901"/>
    <n v="371094"/>
    <m/>
    <n v="1"/>
    <s v="UA"/>
    <n v="455"/>
    <n v="455"/>
  </r>
  <r>
    <x v="383"/>
    <x v="108"/>
    <x v="15"/>
    <x v="2"/>
    <x v="11"/>
    <x v="1"/>
    <n v="1000238"/>
    <s v="SERV DESP PEDAGIO"/>
    <s v="PEDAGIO FRETE FAZ. PALMEIRAS X  FAZ. LAGOA DA ANTA "/>
    <m/>
    <s v="LENCOIS PAULISTA"/>
    <n v="7901"/>
    <n v="371094"/>
    <m/>
    <n v="1"/>
    <s v="UA"/>
    <n v="1706.2"/>
    <n v="1706.2"/>
  </r>
  <r>
    <x v="383"/>
    <x v="108"/>
    <x v="15"/>
    <x v="0"/>
    <x v="11"/>
    <x v="1"/>
    <n v="1000287"/>
    <s v="SERV FRETE CAMINHAO PRANCHA AGRIC"/>
    <s v="FRETE  FRETE FAZ. PALMEIRAS X  FAZ. LAGOA DA ANTA "/>
    <n v="6007"/>
    <s v=" RIBAS DO RIO PARDO"/>
    <n v="6236"/>
    <n v="371094"/>
    <m/>
    <n v="1693"/>
    <s v="KM"/>
    <n v="12.28"/>
    <n v="20790.039999999997"/>
  </r>
  <r>
    <x v="383"/>
    <x v="108"/>
    <x v="15"/>
    <x v="7"/>
    <x v="11"/>
    <x v="1"/>
    <s v="0000000"/>
    <s v="SEGURO"/>
    <s v="SEGURO"/>
    <m/>
    <s v="LENCOIS PAULISTA"/>
    <n v="7901"/>
    <n v="371094"/>
    <n v="1"/>
    <n v="1"/>
    <s v="UA"/>
    <n v="490"/>
    <n v="490"/>
  </r>
  <r>
    <x v="383"/>
    <x v="108"/>
    <x v="15"/>
    <x v="2"/>
    <x v="11"/>
    <x v="1"/>
    <n v="1000238"/>
    <s v="SERV DESP PEDAGIO"/>
    <s v="PEDAGIO FRETE FAZ. PALMEIRAS X  FAZ. PIRACANJUBA "/>
    <m/>
    <s v="LENCOIS PAULISTA"/>
    <n v="7901"/>
    <n v="371094"/>
    <m/>
    <n v="1"/>
    <s v="UA"/>
    <n v="1758.3"/>
    <n v="1758.3"/>
  </r>
  <r>
    <x v="383"/>
    <x v="108"/>
    <x v="15"/>
    <x v="0"/>
    <x v="11"/>
    <x v="1"/>
    <n v="1000287"/>
    <s v="SERV FRETE CAMINHAO PRANCHA AGRIC"/>
    <s v="FRETE  FRETE FAZ. PALMEIRAS X  FAZ. PIRACANJUBA "/>
    <n v="6007"/>
    <s v=" RIBAS DO RIO PARDO"/>
    <n v="6234"/>
    <n v="371094"/>
    <m/>
    <n v="816.5"/>
    <s v="KM"/>
    <n v="12.28"/>
    <n v="10026.619999999999"/>
  </r>
  <r>
    <x v="383"/>
    <x v="108"/>
    <x v="15"/>
    <x v="7"/>
    <x v="11"/>
    <x v="1"/>
    <s v="0000000"/>
    <s v="SEGURO"/>
    <s v="SEGURO"/>
    <m/>
    <s v="LENCOIS PAULISTA"/>
    <n v="7901"/>
    <n v="371094"/>
    <n v="1"/>
    <n v="1"/>
    <s v="UA"/>
    <n v="630"/>
    <n v="630"/>
  </r>
  <r>
    <x v="383"/>
    <x v="108"/>
    <x v="15"/>
    <x v="2"/>
    <x v="11"/>
    <x v="1"/>
    <n v="1000238"/>
    <s v="SERV DESP PEDAGIO"/>
    <s v="PEDAGIO FRETE FAZ. PALMEIRAS X  FAZ. PIRACANJUBA "/>
    <m/>
    <s v="LENCOIS PAULISTA"/>
    <n v="7901"/>
    <n v="371094"/>
    <m/>
    <n v="1"/>
    <s v="UA"/>
    <n v="0"/>
    <n v="0"/>
  </r>
  <r>
    <x v="383"/>
    <x v="108"/>
    <x v="15"/>
    <x v="0"/>
    <x v="11"/>
    <x v="1"/>
    <n v="1000287"/>
    <s v="SERV FRETE CAMINHAO PRANCHA AGRIC"/>
    <s v="FRETE  FRETE FAZ. PALMEIRAS X  FAZ. PIRACANJUBA "/>
    <n v="6007"/>
    <s v=" RIBAS DO RIO PARDO"/>
    <n v="6234"/>
    <n v="371094"/>
    <m/>
    <n v="816.5"/>
    <s v="KM"/>
    <n v="12.28"/>
    <n v="10026.619999999999"/>
  </r>
  <r>
    <x v="383"/>
    <x v="108"/>
    <x v="15"/>
    <x v="10"/>
    <x v="11"/>
    <x v="1"/>
    <s v="0000000"/>
    <s v="SEGURO"/>
    <s v="SEGURO"/>
    <m/>
    <s v="LENCOIS PAULISTA"/>
    <n v="7901"/>
    <n v="371094"/>
    <n v="1"/>
    <n v="1"/>
    <s v="UA"/>
    <n v="630"/>
    <n v="630"/>
  </r>
  <r>
    <x v="383"/>
    <x v="109"/>
    <x v="15"/>
    <x v="2"/>
    <x v="4"/>
    <x v="1"/>
    <n v="1000238"/>
    <s v="SERV DESP PEDAGIO"/>
    <s v="PEDAGIO FRETE FAZ. PRIMAVERA  X  FAZ. SANTA MADALENA "/>
    <m/>
    <s v="LENCOIS PAULISTA"/>
    <n v="7901"/>
    <n v="371094"/>
    <m/>
    <n v="1"/>
    <s v="UA"/>
    <n v="71.099999999999994"/>
    <n v="71.099999999999994"/>
  </r>
  <r>
    <x v="383"/>
    <x v="109"/>
    <x v="15"/>
    <x v="0"/>
    <x v="4"/>
    <x v="1"/>
    <n v="1000287"/>
    <s v="SERV FRETE CAMINHAO PRANCHA AGRIC"/>
    <s v="FRETE  FRETE FAZ. PRIMAVERA  X  FAZ. SANTA MADALENA "/>
    <n v="7002"/>
    <s v="AGUDOS"/>
    <s v="0346"/>
    <n v="371094"/>
    <m/>
    <n v="250"/>
    <s v="KM"/>
    <n v="12.28"/>
    <n v="3070"/>
  </r>
  <r>
    <x v="383"/>
    <x v="109"/>
    <x v="15"/>
    <x v="2"/>
    <x v="4"/>
    <x v="1"/>
    <n v="1000238"/>
    <s v="SERV DESP PEDAGIO"/>
    <s v="PEDAGIO FRETE FAZ. TURVINHO II X  FAZ. OITO PONTAS "/>
    <m/>
    <s v="LENCOIS PAULISTA"/>
    <n v="7901"/>
    <n v="371065"/>
    <m/>
    <n v="1"/>
    <s v="UA"/>
    <n v="323.2"/>
    <n v="323.2"/>
  </r>
  <r>
    <x v="383"/>
    <x v="109"/>
    <x v="15"/>
    <x v="0"/>
    <x v="4"/>
    <x v="1"/>
    <n v="1000287"/>
    <s v="SERV FRETE CAMINHAO PRANCHA AGRIC"/>
    <s v="FRETE  FRETE FAZ. TURVINHO II X  FAZ. OITO PONTAS "/>
    <n v="7007"/>
    <s v="ANHEMBI"/>
    <s v="0420"/>
    <n v="371065"/>
    <m/>
    <n v="284"/>
    <s v="KM"/>
    <n v="12.28"/>
    <n v="3487.52"/>
  </r>
  <r>
    <x v="383"/>
    <x v="109"/>
    <x v="15"/>
    <x v="2"/>
    <x v="4"/>
    <x v="1"/>
    <n v="1000238"/>
    <s v="SERV DESP PEDAGIO"/>
    <s v="PEDAGIO FRETE FAZ. TURVINHO II X  FAZ. OITO PONTAS "/>
    <m/>
    <s v="LENCOIS PAULISTA"/>
    <n v="7901"/>
    <n v="371065"/>
    <m/>
    <n v="1"/>
    <s v="UA"/>
    <n v="302.60000000000002"/>
    <n v="302.60000000000002"/>
  </r>
  <r>
    <x v="383"/>
    <x v="109"/>
    <x v="15"/>
    <x v="0"/>
    <x v="4"/>
    <x v="1"/>
    <n v="1000287"/>
    <s v="SERV FRETE CAMINHAO PRANCHA AGRIC"/>
    <s v="FRETE  FRETE FAZ. TURVINHO II X  FAZ. OITO PONTAS "/>
    <n v="7007"/>
    <s v="ANHEMBI"/>
    <s v="0420"/>
    <n v="371065"/>
    <m/>
    <n v="292"/>
    <s v="KM"/>
    <n v="12.28"/>
    <n v="3585.7599999999998"/>
  </r>
  <r>
    <x v="383"/>
    <x v="109"/>
    <x v="15"/>
    <x v="2"/>
    <x v="4"/>
    <x v="1"/>
    <n v="1000238"/>
    <s v="SERV DESP PEDAGIO"/>
    <s v="PEDAGIO FRETE FAZ. TURVINHO II X  FAZ. OITO PONTAS "/>
    <m/>
    <s v="LENCOIS PAULISTA"/>
    <n v="7901"/>
    <n v="371065"/>
    <m/>
    <n v="1"/>
    <s v="UA"/>
    <n v="217.6"/>
    <n v="217.6"/>
  </r>
  <r>
    <x v="383"/>
    <x v="109"/>
    <x v="15"/>
    <x v="0"/>
    <x v="4"/>
    <x v="1"/>
    <n v="1000287"/>
    <s v="SERV FRETE CAMINHAO PRANCHA AGRIC"/>
    <s v="FRETE  FRETE FAZ. TURVINHO II X  FAZ. OITO PONTAS "/>
    <n v="7007"/>
    <s v="ANHEMBI"/>
    <s v="0420"/>
    <n v="371065"/>
    <m/>
    <n v="290"/>
    <s v="KM"/>
    <n v="12.28"/>
    <n v="3561.2"/>
  </r>
  <r>
    <x v="383"/>
    <x v="110"/>
    <x v="15"/>
    <x v="2"/>
    <x v="0"/>
    <x v="0"/>
    <n v="1000238"/>
    <s v="SERV DESP PEDAGIO"/>
    <s v="PEDAGIO FRETE  FAZ. IPÊ X FAZ. PALMEIRAS"/>
    <m/>
    <s v="LENCOIS PAULISTA"/>
    <n v="7901"/>
    <n v="371094"/>
    <m/>
    <n v="1"/>
    <s v="UA"/>
    <n v="1597"/>
    <n v="1597"/>
  </r>
  <r>
    <x v="383"/>
    <x v="110"/>
    <x v="15"/>
    <x v="0"/>
    <x v="0"/>
    <x v="0"/>
    <n v="1000287"/>
    <s v="SERV FRETE CAMINHAO PRANCHA AGRIC"/>
    <s v="FRETE FAZ. IPÊ X FAZ. PALMEIRAS"/>
    <n v="7024"/>
    <s v="CAPAO BONITO"/>
    <s v="0938"/>
    <n v="371094"/>
    <m/>
    <n v="1398.9"/>
    <s v="KM"/>
    <n v="13.69"/>
    <n v="19150.940999999999"/>
  </r>
  <r>
    <x v="383"/>
    <x v="111"/>
    <x v="17"/>
    <x v="2"/>
    <x v="4"/>
    <x v="1"/>
    <n v="1000238"/>
    <s v="SERV DESP PEDAGIO"/>
    <s v="PEDAGIO FRETE  FAZ.OITO PONTAS X FAZ. LARANJAL "/>
    <m/>
    <s v="LENCOIS PAULISTA"/>
    <n v="7901"/>
    <n v="371065"/>
    <m/>
    <n v="1"/>
    <s v="UA"/>
    <n v="432.31"/>
    <n v="432.31"/>
  </r>
  <r>
    <x v="383"/>
    <x v="111"/>
    <x v="17"/>
    <x v="0"/>
    <x v="4"/>
    <x v="1"/>
    <n v="1000287"/>
    <s v="SERV FRETE CAMINHAO PRANCHA AGRIC"/>
    <s v="FRETE FAZ.OITO PONTAS X FAZ. LARANJAL "/>
    <n v="7020"/>
    <s v="BROTAS"/>
    <n v="2045"/>
    <n v="371065"/>
    <m/>
    <n v="256"/>
    <s v="KM"/>
    <n v="12.28"/>
    <n v="3143.68"/>
  </r>
  <r>
    <x v="383"/>
    <x v="111"/>
    <x v="17"/>
    <x v="2"/>
    <x v="4"/>
    <x v="1"/>
    <n v="1000238"/>
    <s v="SERV DESP PEDAGIO"/>
    <s v="PEDAGIO FRETE  FAZ.OITO PONTAS X FAZ. LARANJAL "/>
    <m/>
    <s v="LENCOIS PAULISTA"/>
    <n v="7901"/>
    <n v="371065"/>
    <m/>
    <n v="1"/>
    <s v="UA"/>
    <n v="1232.0999999999999"/>
    <n v="1232.0999999999999"/>
  </r>
  <r>
    <x v="383"/>
    <x v="111"/>
    <x v="17"/>
    <x v="0"/>
    <x v="4"/>
    <x v="1"/>
    <n v="1000287"/>
    <s v="SERV FRETE CAMINHAO PRANCHA AGRIC"/>
    <s v="FRETE FAZ.OITO PONTAS X FAZ. LARANJAL "/>
    <n v="7020"/>
    <s v="BROTAS"/>
    <n v="2045"/>
    <n v="371065"/>
    <m/>
    <n v="392"/>
    <s v="KM"/>
    <n v="12.28"/>
    <n v="4813.7599999999993"/>
  </r>
  <r>
    <x v="383"/>
    <x v="111"/>
    <x v="17"/>
    <x v="2"/>
    <x v="4"/>
    <x v="1"/>
    <n v="1000238"/>
    <s v="SERV DESP PEDAGIO"/>
    <s v="PEDAGIO FRETE  FAZ.OITO PONTAS X FAZ. LARANJAL "/>
    <m/>
    <s v="LENCOIS PAULISTA"/>
    <n v="7901"/>
    <n v="371065"/>
    <m/>
    <n v="1"/>
    <s v="UA"/>
    <n v="1706.2"/>
    <n v="1706.2"/>
  </r>
  <r>
    <x v="383"/>
    <x v="111"/>
    <x v="17"/>
    <x v="0"/>
    <x v="4"/>
    <x v="1"/>
    <n v="1000287"/>
    <s v="SERV FRETE CAMINHAO PRANCHA AGRIC"/>
    <s v="FRETE FAZ.OITO PONTAS X FAZ. LARANJAL "/>
    <n v="7020"/>
    <s v="BROTAS"/>
    <n v="2045"/>
    <n v="371065"/>
    <m/>
    <n v="392"/>
    <s v="KM"/>
    <n v="12.28"/>
    <n v="4813.7599999999993"/>
  </r>
  <r>
    <x v="383"/>
    <x v="112"/>
    <x v="17"/>
    <x v="2"/>
    <x v="3"/>
    <x v="1"/>
    <n v="1000238"/>
    <s v="SERV DESP PEDAGIO"/>
    <s v="PEDAGIO FRETE  FAZ. MADALENA II x FAZ. BARREIRO RICO "/>
    <m/>
    <s v="LENCOIS PAULISTA"/>
    <n v="7901"/>
    <n v="371055"/>
    <m/>
    <n v="1"/>
    <s v="UA"/>
    <n v="294.89999999999998"/>
    <n v="294.89999999999998"/>
  </r>
  <r>
    <x v="383"/>
    <x v="112"/>
    <x v="17"/>
    <x v="0"/>
    <x v="3"/>
    <x v="1"/>
    <n v="1000287"/>
    <s v="SERV FRETE CAMINHAO PRANCHA AGRIC"/>
    <s v="FRETE  FAZ. MADALENA II x FAZ. BARREIRO RICO "/>
    <n v="7060"/>
    <s v="PAULISTÂNIA"/>
    <s v="0295"/>
    <n v="371055"/>
    <m/>
    <n v="250"/>
    <s v="KM"/>
    <n v="12.28"/>
    <n v="307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7">
  <r>
    <n v="1"/>
    <x v="0"/>
    <x v="0"/>
    <x v="0"/>
    <x v="0"/>
    <x v="0"/>
    <n v="1000287"/>
    <s v="SERV FRETE CAMINHAO PRANCHA AGRIC"/>
    <s v="FRETE PEDERNAIRAS PARA DUARTINA (MAQUINA JM DESTOCA)"/>
    <n v="4064"/>
    <x v="0"/>
    <s v="0176"/>
    <n v="371011"/>
    <n v="10772055"/>
    <n v="194"/>
    <s v="KM"/>
    <n v="12.39"/>
    <n v="2403.6600000000003"/>
  </r>
  <r>
    <n v="2"/>
    <x v="0"/>
    <x v="0"/>
    <x v="1"/>
    <x v="0"/>
    <x v="0"/>
    <n v="1000287"/>
    <s v="SERV FRETE CAMINHAO PRANCHA AGRIC"/>
    <s v="AGUARDANDO CARREGAMENTOPEDERNAIRAS PARA DUARTINA (MAQUINA JM DESTOCA)"/>
    <n v="4064"/>
    <x v="0"/>
    <s v="0176"/>
    <n v="371011"/>
    <n v="10772055"/>
    <n v="250"/>
    <s v="KM"/>
    <n v="12.39"/>
    <n v="3097.5"/>
  </r>
  <r>
    <n v="3"/>
    <x v="0"/>
    <x v="0"/>
    <x v="0"/>
    <x v="1"/>
    <x v="0"/>
    <n v="1000287"/>
    <s v="SERV FRETE CAMINHAO PRANCHA AGRIC"/>
    <s v="FRETE PORTO FELIZ PARA FAZ OITO PONTAS (PROJETO DO, PLANTADEIRA)"/>
    <n v="4007"/>
    <x v="1"/>
    <s v="0420"/>
    <n v="371088"/>
    <n v="10772055"/>
    <n v="265.7"/>
    <s v="KM"/>
    <n v="12.39"/>
    <n v="3292.0230000000001"/>
  </r>
  <r>
    <n v="4"/>
    <x v="0"/>
    <x v="0"/>
    <x v="2"/>
    <x v="1"/>
    <x v="0"/>
    <n v="1000238"/>
    <s v="SERV DESP PEDAGIO"/>
    <s v="PEDAGIO PORTO FELIZ PARA FAZ OITO PONTAS  (PROJETO DO, PLANTADEIRA)"/>
    <n v="4007"/>
    <x v="1"/>
    <s v="0420"/>
    <n v="371088"/>
    <n v="10772055"/>
    <n v="1"/>
    <s v="UA"/>
    <n v="405.3"/>
    <n v="405.3"/>
  </r>
  <r>
    <n v="5"/>
    <x v="0"/>
    <x v="0"/>
    <x v="1"/>
    <x v="1"/>
    <x v="0"/>
    <n v="1000287"/>
    <s v="SERV FRETE CAMINHAO PRANCHA AGRIC"/>
    <s v="AGUARDANDO CARREGAMENTO PORTO FELIZ PARA FAZ OITO PONTAS  (PROJETO DO, PLANTADEIRA)"/>
    <n v="4007"/>
    <x v="1"/>
    <s v="0420"/>
    <n v="371088"/>
    <n v="10772055"/>
    <n v="250"/>
    <s v="KM"/>
    <n v="12.39"/>
    <n v="3097.5"/>
  </r>
  <r>
    <n v="6"/>
    <x v="0"/>
    <x v="0"/>
    <x v="3"/>
    <x v="1"/>
    <x v="0"/>
    <s v="0000000"/>
    <s v="ADM VERIFICAR"/>
    <s v="REEMBOLSO AVARIAS FRETE PORTO FELIZ PARA FAZ OITO PONTAS  (PROJETO DO, PLANTADEIRA)"/>
    <n v="4007"/>
    <x v="1"/>
    <s v="0420"/>
    <n v="371088"/>
    <n v="10772055"/>
    <n v="1"/>
    <s v="UA"/>
    <n v="4000"/>
    <n v="4000"/>
  </r>
  <r>
    <n v="7"/>
    <x v="1"/>
    <x v="0"/>
    <x v="0"/>
    <x v="2"/>
    <x v="0"/>
    <n v="1000287"/>
    <s v="SERV FRETE CAMINHAO PRANCHA AGRIC"/>
    <s v="FRETE FAZ MONTE LIBANO PARA OFICINA"/>
    <n v="4060"/>
    <x v="2"/>
    <s v="0268"/>
    <n v="371075"/>
    <n v="10772055"/>
    <n v="144"/>
    <s v="KM"/>
    <n v="12.39"/>
    <n v="1784.16"/>
  </r>
  <r>
    <n v="8"/>
    <x v="1"/>
    <x v="0"/>
    <x v="2"/>
    <x v="2"/>
    <x v="0"/>
    <n v="1000238"/>
    <s v="SERV DESP PEDAGIO"/>
    <s v="PEDAGIO FAZ MONTE LIBANO PARA OFICINA"/>
    <n v="4060"/>
    <x v="2"/>
    <s v="0268"/>
    <n v="371075"/>
    <n v="10772055"/>
    <n v="1"/>
    <s v="UA"/>
    <n v="267.68"/>
    <n v="267.68"/>
  </r>
  <r>
    <n v="9"/>
    <x v="2"/>
    <x v="0"/>
    <x v="0"/>
    <x v="3"/>
    <x v="0"/>
    <n v="1000287"/>
    <s v="SERV FRETE CAMINHAO PRANCHA AGRIC"/>
    <s v="FRETE FAZ IDEAL PARA RECREIO (2PRANCHAS)"/>
    <n v="4010"/>
    <x v="3"/>
    <s v="0011"/>
    <n v="371055"/>
    <n v="10772055"/>
    <n v="673"/>
    <s v="KM"/>
    <n v="12.39"/>
    <n v="8338.4700000000012"/>
  </r>
  <r>
    <n v="10"/>
    <x v="2"/>
    <x v="0"/>
    <x v="2"/>
    <x v="3"/>
    <x v="0"/>
    <n v="1000238"/>
    <s v="SERV DESP PEDAGIO"/>
    <s v="PEDAGIO FAZ IDEAL PARA RECREIO (2PRANCHAS)"/>
    <n v="4010"/>
    <x v="3"/>
    <s v="0011"/>
    <n v="371055"/>
    <n v="10772055"/>
    <n v="1"/>
    <s v="UA"/>
    <n v="616"/>
    <n v="616"/>
  </r>
  <r>
    <n v="11"/>
    <x v="3"/>
    <x v="0"/>
    <x v="0"/>
    <x v="4"/>
    <x v="0"/>
    <n v="1000287"/>
    <s v="SERV FRETE CAMINHAO PRANCHA AGRIC"/>
    <s v="FRETE FAZ SÃO BENEDITO PARA AGUA FRIA (2PRANCHAS)"/>
    <n v="4091"/>
    <x v="4"/>
    <s v="2040"/>
    <n v="371065"/>
    <n v="10772055"/>
    <n v="902.3"/>
    <s v="KM"/>
    <n v="12.39"/>
    <n v="11179.496999999999"/>
  </r>
  <r>
    <n v="12"/>
    <x v="3"/>
    <x v="0"/>
    <x v="2"/>
    <x v="4"/>
    <x v="0"/>
    <n v="1000238"/>
    <s v="SERV DESP PEDAGIO"/>
    <s v="PADAGIO FAZ SÃO BENEDITO PARA AGUA FRIA (2PRANCHAS)"/>
    <n v="4091"/>
    <x v="4"/>
    <s v="2040"/>
    <n v="371065"/>
    <n v="10772055"/>
    <n v="1"/>
    <s v="UA"/>
    <n v="676.2"/>
    <n v="676.2"/>
  </r>
  <r>
    <n v="13"/>
    <x v="4"/>
    <x v="1"/>
    <x v="0"/>
    <x v="4"/>
    <x v="0"/>
    <n v="1000287"/>
    <s v="SERV FRETE CAMINHAO PRANCHA AGRIC"/>
    <s v="FRETE FAZ MAGNOLIA II PARA IDEAL (2PRANCHAS)"/>
    <n v="4016"/>
    <x v="5"/>
    <s v="2066"/>
    <n v="371065"/>
    <n v="10772055"/>
    <n v="1393.1"/>
    <s v="KM"/>
    <n v="12.39"/>
    <n v="17260.508999999998"/>
  </r>
  <r>
    <n v="14"/>
    <x v="4"/>
    <x v="1"/>
    <x v="2"/>
    <x v="4"/>
    <x v="0"/>
    <n v="1000238"/>
    <s v="SERV DESP PEDAGIO"/>
    <s v="PEDAGIO FAZ MAGNOLIA II PARA IDEAL  (2PRANCHAS)"/>
    <n v="4016"/>
    <x v="5"/>
    <s v="2066"/>
    <n v="371065"/>
    <n v="10772055"/>
    <n v="1"/>
    <s v="UA"/>
    <n v="1827.8"/>
    <n v="1827.8"/>
  </r>
  <r>
    <n v="15"/>
    <x v="5"/>
    <x v="1"/>
    <x v="0"/>
    <x v="4"/>
    <x v="0"/>
    <n v="1000287"/>
    <s v="SERV FRETE CAMINHAO PRANCHA AGRIC"/>
    <s v="FRETE FAZ ANALANDIA X PARA BOA VISTA II"/>
    <n v="4067"/>
    <x v="6"/>
    <s v="0098"/>
    <n v="371065"/>
    <n v="10772055"/>
    <n v="446.2"/>
    <s v="KM"/>
    <n v="12.39"/>
    <n v="5528.4179999999997"/>
  </r>
  <r>
    <n v="16"/>
    <x v="5"/>
    <x v="1"/>
    <x v="2"/>
    <x v="4"/>
    <x v="0"/>
    <n v="1000238"/>
    <s v="SERV DESP PEDAGIO"/>
    <s v="PEDAGIO FAZ ANALANDIA X PARA BOA VISTA II"/>
    <n v="4067"/>
    <x v="6"/>
    <s v="0098"/>
    <n v="371065"/>
    <n v="10772055"/>
    <n v="1"/>
    <s v="UA"/>
    <n v="346.17"/>
    <n v="346.17"/>
  </r>
  <r>
    <n v="17"/>
    <x v="5"/>
    <x v="1"/>
    <x v="1"/>
    <x v="4"/>
    <x v="0"/>
    <n v="1000287"/>
    <s v="SERV FRETE CAMINHAO PRANCHA AGRIC"/>
    <s v="AGUARDANDO CARREGAMENTO FAZ ANALANDIA X PARA BOA VISTA II"/>
    <n v="4067"/>
    <x v="6"/>
    <s v="0098"/>
    <n v="371065"/>
    <n v="10772055"/>
    <n v="250"/>
    <s v="KM"/>
    <n v="12.39"/>
    <n v="3097.5"/>
  </r>
  <r>
    <n v="18"/>
    <x v="5"/>
    <x v="1"/>
    <x v="0"/>
    <x v="4"/>
    <x v="0"/>
    <n v="1000287"/>
    <s v="SERV FRETE CAMINHAO PRANCHA AGRIC"/>
    <s v="FRETE FAZ ANALANDIA X PARA IDEAL"/>
    <n v="4016"/>
    <x v="5"/>
    <s v="2066"/>
    <n v="371065"/>
    <n v="10772055"/>
    <n v="422.8"/>
    <s v="KM"/>
    <n v="12.39"/>
    <n v="5238.4920000000002"/>
  </r>
  <r>
    <n v="19"/>
    <x v="5"/>
    <x v="1"/>
    <x v="2"/>
    <x v="4"/>
    <x v="0"/>
    <n v="1000238"/>
    <s v="SERV DESP PEDAGIO"/>
    <s v="PEDAGIO FAZ ANALANDIA X PARA IDEAL"/>
    <n v="4016"/>
    <x v="5"/>
    <s v="2066"/>
    <n v="371065"/>
    <n v="10772055"/>
    <n v="1"/>
    <s v="UA"/>
    <n v="288.12"/>
    <n v="288.12"/>
  </r>
  <r>
    <n v="20"/>
    <x v="5"/>
    <x v="1"/>
    <x v="1"/>
    <x v="4"/>
    <x v="0"/>
    <n v="1000287"/>
    <s v="SERV FRETE CAMINHAO PRANCHA AGRIC"/>
    <s v="AGUARDANDO CARREGAMENTO FAZ ANALANDIA X PARA IDEAL"/>
    <n v="4016"/>
    <x v="5"/>
    <s v="2066"/>
    <n v="371065"/>
    <n v="10772055"/>
    <n v="250"/>
    <s v="KM"/>
    <n v="12.39"/>
    <n v="3097.5"/>
  </r>
  <r>
    <n v="21"/>
    <x v="6"/>
    <x v="1"/>
    <x v="0"/>
    <x v="5"/>
    <x v="1"/>
    <n v="1000287"/>
    <s v="SERV FRETE CAMINHAO PRANCHA AGRIC"/>
    <s v="FRETE FAZ PARAISO PARA SANTA MARTA"/>
    <n v="4048"/>
    <x v="7"/>
    <s v="0559"/>
    <n v="371045"/>
    <n v="10771210"/>
    <n v="301"/>
    <s v="KM"/>
    <n v="12.28"/>
    <n v="3696.2799999999997"/>
  </r>
  <r>
    <n v="22"/>
    <x v="6"/>
    <x v="1"/>
    <x v="2"/>
    <x v="5"/>
    <x v="1"/>
    <n v="1000238"/>
    <s v="SERV DESP PEDAGIO"/>
    <s v="PEDAGIO S/ FRETE FAZ PARAISO PARA SANTA MARTA"/>
    <n v="4048"/>
    <x v="7"/>
    <s v="0559"/>
    <n v="371045"/>
    <n v="10771210"/>
    <n v="1"/>
    <s v="UA"/>
    <n v="171.8"/>
    <n v="171.8"/>
  </r>
  <r>
    <n v="23"/>
    <x v="7"/>
    <x v="1"/>
    <x v="0"/>
    <x v="5"/>
    <x v="1"/>
    <n v="1000287"/>
    <s v="SERV FRETE CAMINHAO PRANCHA AGRIC"/>
    <s v="FRETE FAZ BREJAO PARA PITANGUEIRAS"/>
    <n v="4048"/>
    <x v="7"/>
    <s v="0480"/>
    <n v="371045"/>
    <n v="10771210"/>
    <n v="250"/>
    <s v="KM"/>
    <n v="12.28"/>
    <n v="3070"/>
  </r>
  <r>
    <n v="24"/>
    <x v="7"/>
    <x v="1"/>
    <x v="2"/>
    <x v="5"/>
    <x v="1"/>
    <n v="1000238"/>
    <s v="SERV DESP PEDAGIO"/>
    <s v="FRETE FAZ BREJAO PARA PITANGUEIRAS"/>
    <n v="4048"/>
    <x v="7"/>
    <s v="0480"/>
    <n v="371045"/>
    <n v="10771210"/>
    <n v="1"/>
    <s v="UA"/>
    <n v="176.03"/>
    <n v="176.03"/>
  </r>
  <r>
    <n v="25"/>
    <x v="8"/>
    <x v="2"/>
    <x v="4"/>
    <x v="0"/>
    <x v="2"/>
    <n v="2700092"/>
    <s v="SERVIÇO CAMINHÃO TRACADO KM"/>
    <s v="DIFERENÇA DE TARIFA PAGO 5,08 CORRETO 5,25"/>
    <n v="4015"/>
    <x v="8"/>
    <s v="0440"/>
    <n v="371011"/>
    <n v="10775471"/>
    <n v="122.25"/>
    <s v="KM"/>
    <n v="5.25"/>
    <n v="641.8125"/>
  </r>
  <r>
    <n v="26"/>
    <x v="9"/>
    <x v="1"/>
    <x v="0"/>
    <x v="5"/>
    <x v="1"/>
    <n v="1000287"/>
    <s v="SERV FRETE CAMINHAO PRANCHA AGRIC"/>
    <s v="FRETE FAZ PITANGUEIRA PARA ALVORADA VII"/>
    <n v="4045"/>
    <x v="9"/>
    <s v="2405"/>
    <n v="371045"/>
    <n v="10771210"/>
    <n v="555"/>
    <s v="KM"/>
    <n v="12.28"/>
    <n v="6815.4"/>
  </r>
  <r>
    <n v="27"/>
    <x v="9"/>
    <x v="1"/>
    <x v="2"/>
    <x v="5"/>
    <x v="1"/>
    <n v="1000238"/>
    <s v="SERV DESP PEDAGIO"/>
    <s v="FRETE FAZ PITANGUEIRA PARA ALVORADA VII"/>
    <n v="4045"/>
    <x v="9"/>
    <s v="2405"/>
    <n v="371045"/>
    <n v="10771210"/>
    <n v="1"/>
    <s v="UA"/>
    <n v="704.28"/>
    <n v="704.28"/>
  </r>
  <r>
    <n v="28"/>
    <x v="10"/>
    <x v="1"/>
    <x v="0"/>
    <x v="4"/>
    <x v="0"/>
    <n v="1000287"/>
    <s v="SERV FRETE CAMINHAO PRANCHA AGRIC"/>
    <s v="FRETE FAZ BOA VISTA II PARA BREJÃO CORREDOR (3PRANCHAS)"/>
    <n v="4048"/>
    <x v="7"/>
    <s v="0981"/>
    <n v="371065"/>
    <n v="10772662"/>
    <n v="870.9"/>
    <s v="KM"/>
    <n v="13.69"/>
    <n v="11922.620999999999"/>
  </r>
  <r>
    <n v="29"/>
    <x v="10"/>
    <x v="1"/>
    <x v="2"/>
    <x v="4"/>
    <x v="0"/>
    <n v="1000238"/>
    <s v="SERV DESP PEDAGIO"/>
    <s v="FRETE FAZ BOA VISTA II PARA BREJÃO CORREDOR (3PRANCHAS)"/>
    <n v="4048"/>
    <x v="7"/>
    <s v="0981"/>
    <n v="371065"/>
    <n v="10772662"/>
    <n v="1"/>
    <s v="UA"/>
    <n v="776.81"/>
    <n v="776.81"/>
  </r>
  <r>
    <n v="30"/>
    <x v="10"/>
    <x v="1"/>
    <x v="1"/>
    <x v="4"/>
    <x v="0"/>
    <n v="1000287"/>
    <s v="SERV FRETE CAMINHAO PRANCHA AGRIC"/>
    <s v="AGUARDANDO CARREGAMENTO FAZ BOA VISTA II PARA BREJÃO CORREDOR (3PRANCHAS)"/>
    <n v="4048"/>
    <x v="7"/>
    <s v="0981"/>
    <n v="371065"/>
    <n v="10772662"/>
    <n v="750"/>
    <s v="KM"/>
    <n v="13.69"/>
    <n v="10267.5"/>
  </r>
  <r>
    <n v="31"/>
    <x v="11"/>
    <x v="1"/>
    <x v="4"/>
    <x v="6"/>
    <x v="3"/>
    <n v="2700092"/>
    <s v="SERVIÇO CAMINHÃO TRACADO KM"/>
    <s v="FRETE PEDREIRA DO PARDO PARA FAZ DOS ORIXAS"/>
    <n v="4038"/>
    <x v="10"/>
    <s v="0202"/>
    <n v="371011"/>
    <n v="10772667"/>
    <n v="354"/>
    <s v="KM"/>
    <n v="5.64"/>
    <n v="1996.56"/>
  </r>
  <r>
    <n v="32"/>
    <x v="11"/>
    <x v="1"/>
    <x v="4"/>
    <x v="6"/>
    <x v="3"/>
    <n v="2700092"/>
    <s v="SERVIÇO CAMINHÃO TRACADO KM"/>
    <s v="FRETE PEDREIRA DO PARDO PARA FAZ DOS ORIXAS"/>
    <n v="4038"/>
    <x v="10"/>
    <s v="0202"/>
    <n v="371011"/>
    <n v="10772667"/>
    <n v="354"/>
    <s v="KM"/>
    <n v="5.64"/>
    <n v="1996.56"/>
  </r>
  <r>
    <n v="33"/>
    <x v="11"/>
    <x v="1"/>
    <x v="2"/>
    <x v="6"/>
    <x v="3"/>
    <n v="1000238"/>
    <s v="SERV DESP PEDAGIO"/>
    <s v="PEDAGIO FRETE PEDREIRA DO PARDO PARA FAZ DOS ORIXAS"/>
    <n v="4038"/>
    <x v="10"/>
    <s v="0202"/>
    <n v="371011"/>
    <n v="10772667"/>
    <n v="1"/>
    <s v="UA"/>
    <n v="123.39"/>
    <n v="123.39"/>
  </r>
  <r>
    <n v="34"/>
    <x v="11"/>
    <x v="1"/>
    <x v="2"/>
    <x v="6"/>
    <x v="3"/>
    <n v="1000238"/>
    <s v="SERV DESP PEDAGIO"/>
    <s v="PEDAGIO FRETE PEDREIRA DO PARDO PARA FAZ DOS ORIXAS"/>
    <n v="4038"/>
    <x v="10"/>
    <s v="0202"/>
    <n v="371011"/>
    <n v="10772667"/>
    <n v="1"/>
    <s v="UA"/>
    <n v="123.39"/>
    <n v="123.39"/>
  </r>
  <r>
    <n v="35"/>
    <x v="12"/>
    <x v="1"/>
    <x v="0"/>
    <x v="4"/>
    <x v="0"/>
    <n v="1000287"/>
    <s v="SERV FRETE CAMINHAO PRANCHA AGRIC"/>
    <s v="FRETE FAZ BREJÃO CORREDOR PARA SANTA RITA"/>
    <n v="4011"/>
    <x v="11"/>
    <s v="0631"/>
    <n v="371065"/>
    <n v="10772662"/>
    <n v="933.7"/>
    <s v="KM"/>
    <n v="13.69"/>
    <n v="12782.353000000001"/>
  </r>
  <r>
    <n v="36"/>
    <x v="12"/>
    <x v="1"/>
    <x v="2"/>
    <x v="4"/>
    <x v="0"/>
    <n v="1000238"/>
    <s v="SERV DESP PEDAGIO"/>
    <s v="FRETE FAZ BREJÃO CORREDOR PARA SANTA RITA"/>
    <n v="4011"/>
    <x v="11"/>
    <s v="0631"/>
    <n v="371065"/>
    <n v="10772662"/>
    <n v="1"/>
    <s v="UA"/>
    <n v="605.85"/>
    <n v="605.85"/>
  </r>
  <r>
    <n v="37"/>
    <x v="13"/>
    <x v="1"/>
    <x v="0"/>
    <x v="5"/>
    <x v="1"/>
    <n v="1000287"/>
    <s v="SERV FRETE CAMINHAO PRANCHA AGRIC"/>
    <s v="FRETE FAZ ALVORADA VII  PARA MORRO PEQUENO"/>
    <n v="4027"/>
    <x v="12"/>
    <s v="2044"/>
    <n v="371045"/>
    <n v="10771210"/>
    <n v="531"/>
    <s v="KM"/>
    <n v="12.28"/>
    <n v="6520.6799999999994"/>
  </r>
  <r>
    <n v="38"/>
    <x v="13"/>
    <x v="1"/>
    <x v="2"/>
    <x v="5"/>
    <x v="1"/>
    <n v="1000238"/>
    <s v="SERV DESP PEDAGIO"/>
    <s v="FRETE FAZ ALVORADA VII  PARA MORRO PEQUENO"/>
    <n v="4027"/>
    <x v="12"/>
    <s v="2044"/>
    <n v="371045"/>
    <n v="10771210"/>
    <n v="1"/>
    <s v="UA"/>
    <n v="543.11"/>
    <n v="543.11"/>
  </r>
  <r>
    <n v="39"/>
    <x v="14"/>
    <x v="1"/>
    <x v="0"/>
    <x v="4"/>
    <x v="0"/>
    <n v="1000287"/>
    <s v="SERV FRETE CAMINHAO PRANCHA AGRIC"/>
    <s v="FRETE FAZ SANTA MARTA PARA PINTANGUEIRA"/>
    <n v="4048"/>
    <x v="7"/>
    <s v="0480"/>
    <n v="371065"/>
    <n v="10772662"/>
    <n v="638.20000000000005"/>
    <s v="KM"/>
    <n v="13.69"/>
    <n v="8736.9580000000005"/>
  </r>
  <r>
    <n v="40"/>
    <x v="14"/>
    <x v="1"/>
    <x v="2"/>
    <x v="4"/>
    <x v="0"/>
    <n v="1000238"/>
    <s v="SERV DESP PEDAGIO"/>
    <s v="FRETE FAZ SANTA MARTA PARA PINTANGUEIRA"/>
    <n v="4048"/>
    <x v="7"/>
    <s v="0480"/>
    <n v="371065"/>
    <n v="10772662"/>
    <n v="1"/>
    <s v="UA"/>
    <n v="643.12"/>
    <n v="643.12"/>
  </r>
  <r>
    <n v="41"/>
    <x v="15"/>
    <x v="1"/>
    <x v="0"/>
    <x v="4"/>
    <x v="0"/>
    <n v="1000287"/>
    <s v="SERV FRETE CAMINHAO PRANCHA AGRIC"/>
    <s v="FRETE FAZ MORRO PEQUENO PARA LOBOS E ARARAS"/>
    <n v="4020"/>
    <x v="13"/>
    <s v="0408"/>
    <n v="371065"/>
    <n v="10772662"/>
    <n v="501.1"/>
    <s v="KM"/>
    <n v="13.69"/>
    <n v="6860.0590000000002"/>
  </r>
  <r>
    <n v="42"/>
    <x v="15"/>
    <x v="1"/>
    <x v="2"/>
    <x v="4"/>
    <x v="0"/>
    <n v="1000238"/>
    <s v="SERV DESP PEDAGIO"/>
    <s v="FRETE FAZ MORRO PEQUENO PARA LOBOS E ARARAS"/>
    <n v="4020"/>
    <x v="13"/>
    <s v="0408"/>
    <n v="371065"/>
    <n v="10772662"/>
    <n v="1"/>
    <s v="UA"/>
    <n v="209.94"/>
    <n v="209.94"/>
  </r>
  <r>
    <n v="43"/>
    <x v="16"/>
    <x v="1"/>
    <x v="0"/>
    <x v="3"/>
    <x v="0"/>
    <n v="1000287"/>
    <s v="SERV FRETE CAMINHAO PRANCHA AGRIC"/>
    <s v="FRETE FAZ RECREIO PARA SANTO ALBERTO"/>
    <n v="4016"/>
    <x v="5"/>
    <s v="1023"/>
    <n v="371055"/>
    <n v="10772662"/>
    <n v="811.7"/>
    <s v="KM"/>
    <n v="13.69"/>
    <n v="11112.173000000001"/>
  </r>
  <r>
    <n v="44"/>
    <x v="16"/>
    <x v="1"/>
    <x v="2"/>
    <x v="3"/>
    <x v="0"/>
    <n v="1000238"/>
    <s v="SERV DESP PEDAGIO"/>
    <s v="FRETE FAZ RECREIO PARA SANTO ALBERTO"/>
    <n v="4016"/>
    <x v="5"/>
    <s v="1023"/>
    <n v="371055"/>
    <n v="10772662"/>
    <n v="1"/>
    <s v="UA"/>
    <n v="656.2"/>
    <n v="656.2"/>
  </r>
  <r>
    <n v="45"/>
    <x v="17"/>
    <x v="1"/>
    <x v="0"/>
    <x v="5"/>
    <x v="0"/>
    <n v="1000287"/>
    <s v="SERV FRETE CAMINHAO PRANCHA AGRIC"/>
    <s v="FRETE FAZ LOBO E ARARAS PARA COLARES"/>
    <n v="4070"/>
    <x v="14"/>
    <s v="0312"/>
    <n v="371045"/>
    <n v="10772662"/>
    <n v="381.2"/>
    <s v="KM"/>
    <n v="13.69"/>
    <n v="5218.6279999999997"/>
  </r>
  <r>
    <n v="46"/>
    <x v="17"/>
    <x v="1"/>
    <x v="2"/>
    <x v="5"/>
    <x v="0"/>
    <n v="1000238"/>
    <s v="SERV DESP PEDAGIO"/>
    <s v="FRETE FAZ LOBO E ARARAS PARA COLARES"/>
    <n v="4070"/>
    <x v="14"/>
    <s v="0312"/>
    <n v="371045"/>
    <n v="10772662"/>
    <n v="1"/>
    <s v="UA"/>
    <n v="260.02"/>
    <n v="260.02"/>
  </r>
  <r>
    <n v="47"/>
    <x v="17"/>
    <x v="1"/>
    <x v="1"/>
    <x v="5"/>
    <x v="0"/>
    <n v="1000287"/>
    <s v="SERV FRETE CAMINHAO PRANCHA AGRIC"/>
    <s v="AGUARDANDO CARREGAMENTO FRETE FAZ LOBO E ARARAS PARA COLARES"/>
    <n v="4070"/>
    <x v="14"/>
    <s v="0312"/>
    <n v="371045"/>
    <n v="10772662"/>
    <n v="250"/>
    <s v="KM"/>
    <n v="13.69"/>
    <n v="3422.5"/>
  </r>
  <r>
    <n v="48"/>
    <x v="18"/>
    <x v="1"/>
    <x v="0"/>
    <x v="0"/>
    <x v="0"/>
    <n v="1000287"/>
    <s v="SERV FRETE CAMINHAO PRANCHA AGRIC"/>
    <s v="FRETE ESCAVADEIRA LOCADA PARA RESGATE DE EQUIPAMENTO ATOLADO"/>
    <s v="0000"/>
    <x v="15"/>
    <s v="0000"/>
    <n v="371011"/>
    <n v="10777223"/>
    <n v="131.80000000000001"/>
    <s v="KM"/>
    <n v="13.69"/>
    <n v="1804.3420000000001"/>
  </r>
  <r>
    <n v="49"/>
    <x v="18"/>
    <x v="1"/>
    <x v="2"/>
    <x v="0"/>
    <x v="0"/>
    <n v="1000238"/>
    <s v="SERV DESP PEDAGIO"/>
    <s v="PEDAGIO FRETE ESCAVADEIRA LOCADA PARA RESGATE DE EQUIPAMENTO ATOLADO"/>
    <s v="0000"/>
    <x v="15"/>
    <s v="0000"/>
    <n v="371011"/>
    <n v="10777223"/>
    <n v="1"/>
    <s v="UA"/>
    <n v="223.2"/>
    <n v="223.2"/>
  </r>
  <r>
    <n v="50"/>
    <x v="18"/>
    <x v="1"/>
    <x v="5"/>
    <x v="0"/>
    <x v="0"/>
    <s v="0000000"/>
    <s v="SERV ESCAV HIDR 44 TON AGRIC"/>
    <s v="HORAS SERV ESCAVADEIRA LOCADA PARA RESGATE DE EQUIPAMENTO ATOLADO"/>
    <s v="0000"/>
    <x v="15"/>
    <s v="0000"/>
    <n v="371011"/>
    <n v="10777223"/>
    <n v="4.3333349999999999"/>
    <s v="HORA"/>
    <n v="550"/>
    <n v="2383.3342499999999"/>
  </r>
  <r>
    <n v="51"/>
    <x v="19"/>
    <x v="3"/>
    <x v="6"/>
    <x v="2"/>
    <x v="4"/>
    <s v="0000000"/>
    <s v="SERVIÇOS APONTADOS NO SGF"/>
    <s v="APONTAMENTOS REALIZADOS NO SGF POR DIÁRIA DE TRUCK"/>
    <s v="0000"/>
    <x v="15"/>
    <s v="0000"/>
    <n v="371075"/>
    <s v="00000000"/>
    <n v="1"/>
    <s v="UA"/>
    <n v="334914.23"/>
    <n v="334914.23"/>
  </r>
  <r>
    <n v="52"/>
    <x v="20"/>
    <x v="0"/>
    <x v="6"/>
    <x v="2"/>
    <x v="4"/>
    <s v="0000000"/>
    <s v="SERVIÇOS APONTADOS NO SGF"/>
    <s v="APONTAMENTOS REALIZADOS NO SGF POR DIÁRIA DE TRUCK"/>
    <s v="0000"/>
    <x v="15"/>
    <s v="0000"/>
    <n v="371075"/>
    <s v="00000000"/>
    <n v="1"/>
    <s v="UA"/>
    <n v="200318.82"/>
    <n v="200318.82"/>
  </r>
  <r>
    <n v="52"/>
    <x v="21"/>
    <x v="2"/>
    <x v="0"/>
    <x v="4"/>
    <x v="0"/>
    <n v="1000287"/>
    <s v="SERV FRETE CAMINHAO PRANCHA AGRIC"/>
    <s v="FRETE FAZ LOBO E ARARAS  PARA BOA VISTA I"/>
    <n v="4067"/>
    <x v="6"/>
    <s v="0016"/>
    <n v="371065"/>
    <n v="10776543"/>
    <n v="732.6"/>
    <s v="KM"/>
    <n v="13.69"/>
    <n v="10029.294"/>
  </r>
  <r>
    <n v="53"/>
    <x v="3"/>
    <x v="4"/>
    <x v="6"/>
    <x v="2"/>
    <x v="4"/>
    <s v="0000000"/>
    <s v="SERVIÇOS APONTADOS NO SGF"/>
    <s v="APONTAMENTOS REALIZADOS NO SGF POR DIÁRIA DE TRUCK"/>
    <s v="0000"/>
    <x v="15"/>
    <s v="0000"/>
    <n v="371075"/>
    <s v="00000000"/>
    <n v="1"/>
    <s v="UA"/>
    <n v="406352.71600000001"/>
    <n v="406352.71600000001"/>
  </r>
  <r>
    <n v="53"/>
    <x v="21"/>
    <x v="2"/>
    <x v="2"/>
    <x v="4"/>
    <x v="0"/>
    <n v="1000238"/>
    <s v="SERV DESP PEDAGIO"/>
    <s v="PEDAGIO FRETE FAZ LOBO E ARARAS  PARA BOA VISTA I"/>
    <n v="4067"/>
    <x v="6"/>
    <s v="0016"/>
    <n v="371065"/>
    <n v="10776543"/>
    <n v="1"/>
    <s v="UA"/>
    <n v="462.73"/>
    <n v="462.73"/>
  </r>
  <r>
    <n v="54"/>
    <x v="22"/>
    <x v="1"/>
    <x v="6"/>
    <x v="2"/>
    <x v="4"/>
    <s v="0000000"/>
    <s v="SERVIÇOS APONTADOS NO SGF"/>
    <s v="APONTAMENTOS REALIZADOS NO SGF POR DIÁRIA DE TRUCK"/>
    <s v="0000"/>
    <x v="15"/>
    <s v="0000"/>
    <n v="371075"/>
    <s v="00000000"/>
    <n v="1"/>
    <s v="UA"/>
    <n v="320626.527"/>
    <n v="320626.527"/>
  </r>
  <r>
    <n v="54"/>
    <x v="23"/>
    <x v="2"/>
    <x v="0"/>
    <x v="3"/>
    <x v="0"/>
    <n v="1000287"/>
    <s v="SERV FRETE CAMINHAO PRANCHA AGRIC"/>
    <s v="FRETE FAZ SANTO ALBERTO  PARA RECREIO"/>
    <n v="4010"/>
    <x v="3"/>
    <s v="0011"/>
    <n v="371055"/>
    <n v="10776543"/>
    <n v="226.5"/>
    <s v="KM"/>
    <n v="13.69"/>
    <n v="3100.7849999999999"/>
  </r>
  <r>
    <n v="55"/>
    <x v="23"/>
    <x v="2"/>
    <x v="2"/>
    <x v="3"/>
    <x v="0"/>
    <n v="1000238"/>
    <s v="SERV DESP PEDAGIO"/>
    <s v="PEDAGIO FRETE FAZ SANTO ALBERTO  PARA RECREIO"/>
    <n v="4010"/>
    <x v="3"/>
    <s v="0011"/>
    <n v="371055"/>
    <n v="10776543"/>
    <n v="1"/>
    <s v="UA"/>
    <n v="162.4"/>
    <n v="162.4"/>
  </r>
  <r>
    <n v="56"/>
    <x v="23"/>
    <x v="2"/>
    <x v="0"/>
    <x v="4"/>
    <x v="0"/>
    <n v="1000287"/>
    <s v="SERV FRETE CAMINHAO PRANCHA AGRIC"/>
    <s v="FRETE FAZ PINTANGUEIRAS  PARA SELVA"/>
    <n v="4016"/>
    <x v="5"/>
    <s v="0015"/>
    <n v="371065"/>
    <n v="10776543"/>
    <n v="323"/>
    <s v="KM"/>
    <n v="13.69"/>
    <n v="4421.87"/>
  </r>
  <r>
    <n v="57"/>
    <x v="23"/>
    <x v="2"/>
    <x v="2"/>
    <x v="4"/>
    <x v="0"/>
    <n v="1000238"/>
    <s v="SERV DESP PEDAGIO"/>
    <s v="PEDAGIO FRETE FAZ PINTANGUEIRAS  PARA SELVA"/>
    <n v="4016"/>
    <x v="5"/>
    <s v="0015"/>
    <n v="371065"/>
    <n v="10776543"/>
    <n v="1"/>
    <s v="UA"/>
    <n v="454.63"/>
    <n v="454.63"/>
  </r>
  <r>
    <n v="58"/>
    <x v="24"/>
    <x v="2"/>
    <x v="0"/>
    <x v="3"/>
    <x v="0"/>
    <n v="1000287"/>
    <s v="SERV FRETE CAMINHAO PRANCHA AGRIC"/>
    <s v="FRETE FAZ RECREIO  PARA LENCOIS PAULISTA"/>
    <s v="0000"/>
    <x v="15"/>
    <s v="0000"/>
    <n v="371055"/>
    <n v="10776543"/>
    <n v="230.5"/>
    <s v="KM"/>
    <n v="13.69"/>
    <n v="3155.5450000000001"/>
  </r>
  <r>
    <n v="59"/>
    <x v="24"/>
    <x v="2"/>
    <x v="2"/>
    <x v="3"/>
    <x v="0"/>
    <n v="1000238"/>
    <s v="SERV DESP PEDAGIO"/>
    <s v="PEDAGIO FRETE FAZ RECREIO  PARA LENCOIS PAULISTA"/>
    <s v="0000"/>
    <x v="15"/>
    <s v="0000"/>
    <n v="371055"/>
    <n v="10776543"/>
    <n v="1"/>
    <s v="UA"/>
    <n v="236.71"/>
    <n v="236.71"/>
  </r>
  <r>
    <n v="60"/>
    <x v="24"/>
    <x v="2"/>
    <x v="1"/>
    <x v="3"/>
    <x v="0"/>
    <n v="1000287"/>
    <s v="SERV FRETE CAMINHAO PRANCHA AGRIC"/>
    <s v="AGUARDANDO CARREGAMENTO FAZ RECREIO  PARA LENCOIS PAULISTA"/>
    <s v="0000"/>
    <x v="15"/>
    <s v="0000"/>
    <n v="371055"/>
    <n v="10776543"/>
    <n v="250"/>
    <s v="KM"/>
    <n v="13.69"/>
    <n v="3422.5"/>
  </r>
  <r>
    <n v="61"/>
    <x v="25"/>
    <x v="2"/>
    <x v="0"/>
    <x v="3"/>
    <x v="0"/>
    <n v="1000287"/>
    <s v="SERV FRETE CAMINHAO PRANCHA AGRIC"/>
    <s v="FRETE FAZ LENCOIS PAULISTA  PARA RECREIO"/>
    <n v="4010"/>
    <x v="3"/>
    <s v="0011"/>
    <n v="371055"/>
    <n v="10776543"/>
    <n v="183.4"/>
    <s v="KM"/>
    <n v="13.69"/>
    <n v="2510.7460000000001"/>
  </r>
  <r>
    <n v="62"/>
    <x v="25"/>
    <x v="2"/>
    <x v="2"/>
    <x v="3"/>
    <x v="0"/>
    <n v="1000238"/>
    <s v="SERV DESP PEDAGIO"/>
    <s v="PEDAGIO FRETE FAZ LENCOIS PAULISTA  PARA RECREIO"/>
    <n v="4010"/>
    <x v="3"/>
    <s v="0011"/>
    <n v="371055"/>
    <n v="10776543"/>
    <n v="1"/>
    <s v="UA"/>
    <n v="161"/>
    <n v="161"/>
  </r>
  <r>
    <n v="63"/>
    <x v="25"/>
    <x v="2"/>
    <x v="0"/>
    <x v="3"/>
    <x v="1"/>
    <n v="1000287"/>
    <s v="SERV FRETE CAMINHAO PRANCHA AGRIC"/>
    <s v="FRETE FAZ PORTO BELO  PARA RECREIO"/>
    <n v="4010"/>
    <x v="3"/>
    <s v="0011"/>
    <n v="371055"/>
    <n v="10776391"/>
    <n v="301"/>
    <s v="KM"/>
    <n v="12.28"/>
    <n v="3696.2799999999997"/>
  </r>
  <r>
    <n v="64"/>
    <x v="25"/>
    <x v="2"/>
    <x v="2"/>
    <x v="3"/>
    <x v="1"/>
    <n v="1000238"/>
    <s v="SERV DESP PEDAGIO"/>
    <s v="PEDAGIOFRETE FAZ PORTO BELO  PARA RECREIO"/>
    <n v="4010"/>
    <x v="3"/>
    <s v="0011"/>
    <n v="371055"/>
    <n v="10776391"/>
    <n v="1"/>
    <s v="UA"/>
    <n v="191.61"/>
    <n v="191.61"/>
  </r>
  <r>
    <n v="65"/>
    <x v="26"/>
    <x v="2"/>
    <x v="0"/>
    <x v="7"/>
    <x v="5"/>
    <n v="1000287"/>
    <s v="SERV FRETE CAMINHAO PRANCHA AGRIC"/>
    <s v="FRETE OFICINA GUTIERREZ PARA FAZ CARRETAO I"/>
    <n v="4071"/>
    <x v="16"/>
    <s v="0236"/>
    <n v="375040"/>
    <n v="10781247"/>
    <n v="167"/>
    <s v="KM"/>
    <n v="12.06"/>
    <n v="2014.02"/>
  </r>
  <r>
    <n v="66"/>
    <x v="26"/>
    <x v="2"/>
    <x v="2"/>
    <x v="7"/>
    <x v="5"/>
    <n v="1000238"/>
    <s v="SERV DESP PEDAGIO"/>
    <s v="PEDAGIO OFICINA GUTIERREZ PARA FAZ CARRETAO I"/>
    <n v="4071"/>
    <x v="16"/>
    <s v="0236"/>
    <n v="375040"/>
    <n v="10781247"/>
    <n v="1"/>
    <s v="UA"/>
    <n v="97.06"/>
    <n v="97.06"/>
  </r>
  <r>
    <n v="67"/>
    <x v="26"/>
    <x v="2"/>
    <x v="7"/>
    <x v="7"/>
    <x v="5"/>
    <n v="2700618"/>
    <s v="SERV DESP GERAIS"/>
    <s v="SEGURO OFICINA GUTIERREZ PARA FAZ CARRETAO I"/>
    <n v="4071"/>
    <x v="16"/>
    <s v="0236"/>
    <n v="375040"/>
    <n v="10781247"/>
    <n v="1"/>
    <s v="UA"/>
    <n v="260"/>
    <n v="260"/>
  </r>
  <r>
    <n v="68"/>
    <x v="26"/>
    <x v="2"/>
    <x v="0"/>
    <x v="4"/>
    <x v="1"/>
    <n v="1000287"/>
    <s v="SERV FRETE CAMINHAO PRANCHA AGRIC"/>
    <s v="FRETE FAZ SELVA  PARA AMERICANA"/>
    <n v="4048"/>
    <x v="7"/>
    <s v="0473"/>
    <n v="371065"/>
    <n v="10780438"/>
    <n v="250"/>
    <s v="KM"/>
    <n v="12.28"/>
    <n v="3070"/>
  </r>
  <r>
    <n v="69"/>
    <x v="26"/>
    <x v="2"/>
    <x v="2"/>
    <x v="4"/>
    <x v="1"/>
    <n v="1000238"/>
    <s v="SERV DESP PEDAGIO"/>
    <s v="PEDAGIO FRETE FAZ SELVA  PARA AMERICANA"/>
    <n v="4048"/>
    <x v="7"/>
    <s v="0473"/>
    <n v="371065"/>
    <n v="10780438"/>
    <n v="1"/>
    <s v="UA"/>
    <n v="125.86"/>
    <n v="125.86"/>
  </r>
  <r>
    <n v="70"/>
    <x v="26"/>
    <x v="2"/>
    <x v="0"/>
    <x v="4"/>
    <x v="1"/>
    <n v="1000287"/>
    <s v="SERV FRETE CAMINHAO PRANCHA AGRIC"/>
    <s v="FRETE FAZ SELVA  PARA AMERICANA"/>
    <n v="4048"/>
    <x v="7"/>
    <s v="0473"/>
    <n v="371065"/>
    <n v="10780438"/>
    <n v="268"/>
    <s v="KM"/>
    <n v="12.28"/>
    <n v="3291.04"/>
  </r>
  <r>
    <n v="71"/>
    <x v="26"/>
    <x v="2"/>
    <x v="2"/>
    <x v="4"/>
    <x v="1"/>
    <n v="1000238"/>
    <s v="SERV DESP PEDAGIO"/>
    <s v="PEDAGIO FRETE FAZ SELVA  PARA AMERICANA"/>
    <n v="4048"/>
    <x v="7"/>
    <s v="0473"/>
    <n v="371065"/>
    <n v="10780438"/>
    <n v="1"/>
    <s v="UA"/>
    <n v="220.66"/>
    <n v="220.66"/>
  </r>
  <r>
    <n v="72"/>
    <x v="27"/>
    <x v="2"/>
    <x v="0"/>
    <x v="3"/>
    <x v="0"/>
    <n v="1000287"/>
    <s v="SERV FRETE CAMINHAO PRANCHA AGRIC"/>
    <s v="FRETE FAZ RECREIO  PARA PORTO BELO"/>
    <n v="4031"/>
    <x v="17"/>
    <s v="0233"/>
    <n v="371055"/>
    <n v="10780443"/>
    <n v="635.1"/>
    <s v="KM"/>
    <n v="13.69"/>
    <n v="8694.5190000000002"/>
  </r>
  <r>
    <n v="73"/>
    <x v="27"/>
    <x v="2"/>
    <x v="2"/>
    <x v="3"/>
    <x v="0"/>
    <n v="1000238"/>
    <s v="SERV DESP PEDAGIO"/>
    <s v="PEDAGIO FRETE FAZ RECREIO  PARA PORTO BELO"/>
    <n v="4031"/>
    <x v="17"/>
    <s v="0233"/>
    <n v="371055"/>
    <n v="10780443"/>
    <n v="1"/>
    <s v="UA"/>
    <n v="409.91"/>
    <n v="409.91"/>
  </r>
  <r>
    <n v="74"/>
    <x v="26"/>
    <x v="2"/>
    <x v="0"/>
    <x v="5"/>
    <x v="0"/>
    <n v="1000287"/>
    <s v="SERV FRETE CAMINHAO PRANCHA AGRIC"/>
    <s v="FRETE FAZ AMERICANA  PARA LAGOA RICA"/>
    <n v="4001"/>
    <x v="18"/>
    <s v="0035"/>
    <n v="371045"/>
    <n v="10780443"/>
    <n v="625.20000000000005"/>
    <s v="KM"/>
    <n v="13.69"/>
    <n v="8558.9880000000012"/>
  </r>
  <r>
    <n v="75"/>
    <x v="26"/>
    <x v="2"/>
    <x v="2"/>
    <x v="5"/>
    <x v="0"/>
    <n v="1000238"/>
    <s v="SERV DESP PEDAGIO"/>
    <s v="PEDAGIO FRETE FAZ AMERICANA  PARA LAGOA RICA"/>
    <n v="4001"/>
    <x v="18"/>
    <s v="0035"/>
    <n v="371045"/>
    <n v="10780443"/>
    <n v="1"/>
    <s v="UA"/>
    <n v="355.9"/>
    <n v="355.9"/>
  </r>
  <r>
    <n v="76"/>
    <x v="26"/>
    <x v="2"/>
    <x v="0"/>
    <x v="4"/>
    <x v="0"/>
    <n v="1000287"/>
    <s v="SERV FRETE CAMINHAO PRANCHA AGRIC"/>
    <s v="FRETE FAZ SELVA  PARA AMERICANA"/>
    <n v="4048"/>
    <x v="7"/>
    <s v="0473"/>
    <n v="371065"/>
    <n v="10780443"/>
    <n v="308.39999999999998"/>
    <s v="KM"/>
    <n v="13.69"/>
    <n v="4221.9959999999992"/>
  </r>
  <r>
    <n v="77"/>
    <x v="26"/>
    <x v="2"/>
    <x v="2"/>
    <x v="4"/>
    <x v="0"/>
    <n v="1000238"/>
    <s v="SERV DESP PEDAGIO"/>
    <s v="PEDAGIO FRETE FAZ SELVA  PARA AMERICANA"/>
    <n v="4048"/>
    <x v="7"/>
    <s v="0473"/>
    <n v="371065"/>
    <n v="10780443"/>
    <n v="1"/>
    <s v="UA"/>
    <n v="142.86000000000001"/>
    <n v="142.86000000000001"/>
  </r>
  <r>
    <n v="78"/>
    <x v="28"/>
    <x v="2"/>
    <x v="0"/>
    <x v="4"/>
    <x v="0"/>
    <n v="1000287"/>
    <s v="SERV FRETE CAMINHAO PRANCHA AGRIC"/>
    <s v="FRETE FAZ BOA VISTA I  PARA SELVA"/>
    <n v="4016"/>
    <x v="5"/>
    <s v="0015"/>
    <n v="371065"/>
    <n v="10780443"/>
    <n v="765.8"/>
    <s v="KM"/>
    <n v="13.69"/>
    <n v="10483.802"/>
  </r>
  <r>
    <n v="79"/>
    <x v="28"/>
    <x v="2"/>
    <x v="2"/>
    <x v="4"/>
    <x v="0"/>
    <n v="1000238"/>
    <s v="SERV DESP PEDAGIO"/>
    <s v="PEDAGIO FRETE FAZ BOA VISTA I  PARA SELVA"/>
    <n v="4016"/>
    <x v="5"/>
    <s v="0015"/>
    <n v="371065"/>
    <n v="10780443"/>
    <n v="1"/>
    <s v="UA"/>
    <n v="620"/>
    <n v="620"/>
  </r>
  <r>
    <n v="80"/>
    <x v="29"/>
    <x v="2"/>
    <x v="0"/>
    <x v="5"/>
    <x v="0"/>
    <n v="1000287"/>
    <s v="SERV FRETE CAMINHAO PRANCHA AGRIC"/>
    <s v="FRETE FAZ LAGOA RICA  PARA AMERICANA"/>
    <n v="4048"/>
    <x v="7"/>
    <s v="0473"/>
    <n v="371045"/>
    <n v="10780443"/>
    <n v="345"/>
    <s v="KM"/>
    <n v="13.69"/>
    <n v="4723.05"/>
  </r>
  <r>
    <n v="81"/>
    <x v="29"/>
    <x v="2"/>
    <x v="2"/>
    <x v="5"/>
    <x v="0"/>
    <n v="1000238"/>
    <s v="SERV DESP PEDAGIO"/>
    <s v="PEDAGIO FRETE FAZ LAGOA RICA  PARA AMERICANA"/>
    <n v="4048"/>
    <x v="7"/>
    <s v="0473"/>
    <n v="371045"/>
    <n v="10780443"/>
    <n v="1"/>
    <s v="UA"/>
    <n v="156.68"/>
    <n v="156.68"/>
  </r>
  <r>
    <n v="82"/>
    <x v="30"/>
    <x v="2"/>
    <x v="0"/>
    <x v="4"/>
    <x v="0"/>
    <n v="1000238"/>
    <s v="SERV DESP PEDAGIO"/>
    <s v="FRETE FAZ SELVA  PARA BOA VISTA II"/>
    <n v="4067"/>
    <x v="6"/>
    <s v="0098"/>
    <n v="371065"/>
    <n v="10780472"/>
    <n v="435.3"/>
    <s v="KM"/>
    <n v="13.69"/>
    <n v="5959.2569999999996"/>
  </r>
  <r>
    <n v="83"/>
    <x v="30"/>
    <x v="2"/>
    <x v="2"/>
    <x v="4"/>
    <x v="0"/>
    <n v="1000287"/>
    <s v="SERV FRETE CAMINHAO PRANCHA AGRIC"/>
    <s v="PEDAGIO FRETE FAZ SELVA  PARA BOA VISTA II"/>
    <n v="4067"/>
    <x v="6"/>
    <s v="0098"/>
    <n v="371065"/>
    <n v="10780472"/>
    <n v="1"/>
    <s v="UA"/>
    <n v="205.2"/>
    <n v="205.2"/>
  </r>
  <r>
    <n v="84"/>
    <x v="31"/>
    <x v="2"/>
    <x v="2"/>
    <x v="3"/>
    <x v="0"/>
    <n v="1000238"/>
    <s v="SERV DESP PEDAGIO"/>
    <s v="FRETE FAZ CARRETAO I PARA SANTA TEREZINHA VII"/>
    <n v="4002"/>
    <x v="19"/>
    <n v="2263"/>
    <n v="371055"/>
    <n v="10780472"/>
    <n v="1027.5"/>
    <s v="KM"/>
    <n v="13.69"/>
    <n v="14066.475"/>
  </r>
  <r>
    <n v="85"/>
    <x v="31"/>
    <x v="2"/>
    <x v="2"/>
    <x v="3"/>
    <x v="0"/>
    <n v="1000287"/>
    <s v="SERV FRETE CAMINHAO PRANCHA AGRIC"/>
    <s v="PEDAGIO FRETE FAZ CARRETAO I  PARA SANTA TEREZINHA VII"/>
    <n v="4002"/>
    <x v="19"/>
    <n v="2263"/>
    <n v="371055"/>
    <n v="10780472"/>
    <n v="1"/>
    <s v="UA"/>
    <n v="912.6"/>
    <n v="912.6"/>
  </r>
  <r>
    <n v="86"/>
    <x v="32"/>
    <x v="2"/>
    <x v="2"/>
    <x v="5"/>
    <x v="0"/>
    <n v="1000238"/>
    <s v="SERV DESP PEDAGIO"/>
    <s v="FRETE FAZ BOA VISTA II PARA SANTA TEREZINHA VII"/>
    <n v="4002"/>
    <x v="19"/>
    <n v="2263"/>
    <n v="371045"/>
    <n v="10780472"/>
    <n v="242.2"/>
    <s v="KM"/>
    <n v="13.69"/>
    <n v="3315.7179999999998"/>
  </r>
  <r>
    <n v="87"/>
    <x v="32"/>
    <x v="2"/>
    <x v="2"/>
    <x v="5"/>
    <x v="0"/>
    <n v="1000287"/>
    <s v="SERV FRETE CAMINHAO PRANCHA AGRIC"/>
    <s v="PEDAGIO FRETE FAZ BOA VISTA II PARA SANTA TEREZINHA VII"/>
    <n v="4002"/>
    <x v="19"/>
    <n v="2263"/>
    <n v="371045"/>
    <n v="10780472"/>
    <n v="1"/>
    <s v="UA"/>
    <n v="217"/>
    <n v="217"/>
  </r>
  <r>
    <n v="88"/>
    <x v="32"/>
    <x v="2"/>
    <x v="1"/>
    <x v="5"/>
    <x v="0"/>
    <n v="1000287"/>
    <s v="SERV FRETE CAMINHAO PRANCHA AGRIC"/>
    <s v="FRANQUIA FRETE FAZ BOA VISTA II PARA SANTA TEREZINHA VII"/>
    <n v="4002"/>
    <x v="19"/>
    <n v="2263"/>
    <n v="371045"/>
    <n v="10780472"/>
    <n v="250"/>
    <s v="KM"/>
    <n v="13.69"/>
    <n v="3422.5"/>
  </r>
  <r>
    <n v="89"/>
    <x v="32"/>
    <x v="2"/>
    <x v="0"/>
    <x v="3"/>
    <x v="0"/>
    <n v="1000287"/>
    <s v="SERV FRETE CAMINHAO PRANCHA AGRIC"/>
    <s v="FRETE FAZ PORTO BELO I PARA TAPERA QUEIMADA"/>
    <n v="4016"/>
    <x v="5"/>
    <s v="0019"/>
    <n v="371055"/>
    <n v="10780472"/>
    <n v="901.5"/>
    <s v="KM"/>
    <n v="13.69"/>
    <n v="12341.535"/>
  </r>
  <r>
    <n v="90"/>
    <x v="32"/>
    <x v="2"/>
    <x v="2"/>
    <x v="3"/>
    <x v="0"/>
    <n v="1000238"/>
    <s v="SERV DESP PEDAGIO"/>
    <s v="PEDAGIO FRETE FAZ PORTO BELO I PARA TAPERA QUEIMADA"/>
    <n v="4016"/>
    <x v="5"/>
    <s v="0019"/>
    <n v="371055"/>
    <n v="10780472"/>
    <n v="1"/>
    <s v="UA"/>
    <n v="676"/>
    <n v="676"/>
  </r>
  <r>
    <n v="91"/>
    <x v="33"/>
    <x v="2"/>
    <x v="6"/>
    <x v="2"/>
    <x v="4"/>
    <s v="0000000"/>
    <s v="SERVIÇOS APONTADOS NO SGF"/>
    <s v="APONTAMENTOS REALIZADOS NO SGF POR DIÁRIA DE TRUCK"/>
    <s v="0000"/>
    <x v="15"/>
    <s v="0000"/>
    <n v="371075"/>
    <s v="00000000"/>
    <n v="1"/>
    <s v="UA"/>
    <n v="384444.91200000007"/>
    <n v="384444.91200000007"/>
  </r>
  <r>
    <n v="92"/>
    <x v="33"/>
    <x v="2"/>
    <x v="0"/>
    <x v="3"/>
    <x v="1"/>
    <n v="1000287"/>
    <s v="SERV FRETE CAMINHAO PRANCHA AGRIC"/>
    <s v="FRETE FAZ TAPERA QUEIMADA I PARA SANTA ELISA"/>
    <n v="4009"/>
    <x v="20"/>
    <s v="0103"/>
    <n v="371055"/>
    <n v="10781343"/>
    <n v="250"/>
    <s v="KM"/>
    <n v="12.28"/>
    <n v="3070"/>
  </r>
  <r>
    <n v="93"/>
    <x v="33"/>
    <x v="2"/>
    <x v="2"/>
    <x v="3"/>
    <x v="1"/>
    <n v="1000238"/>
    <s v="SERV DESP PEDAGIO"/>
    <s v="PEDAGIO FRETE FAZ TAPERA QUEIMADA I PARA SANTA ELISA"/>
    <n v="4009"/>
    <x v="20"/>
    <s v="0103"/>
    <n v="371055"/>
    <n v="10781343"/>
    <n v="1"/>
    <s v="UA"/>
    <n v="91.2"/>
    <n v="91.2"/>
  </r>
  <r>
    <n v="94"/>
    <x v="33"/>
    <x v="2"/>
    <x v="0"/>
    <x v="3"/>
    <x v="1"/>
    <n v="1000287"/>
    <s v="SERV FRETE CAMINHAO PRANCHA AGRIC"/>
    <s v="FRETE FAZ TAPERA QUEIMADA I PARA SANTA ELISA"/>
    <n v="4009"/>
    <x v="20"/>
    <s v="0103"/>
    <n v="371055"/>
    <n v="10781343"/>
    <n v="250"/>
    <s v="KM"/>
    <n v="12.28"/>
    <n v="3070"/>
  </r>
  <r>
    <n v="95"/>
    <x v="33"/>
    <x v="2"/>
    <x v="2"/>
    <x v="3"/>
    <x v="1"/>
    <n v="1000238"/>
    <s v="SERV DESP PEDAGIO"/>
    <s v="PEDAGIO FRETE FAZ TAPERA QUEIMADA I PARA SANTA ELISA"/>
    <n v="4009"/>
    <x v="20"/>
    <s v="0103"/>
    <n v="371055"/>
    <n v="10781343"/>
    <n v="1"/>
    <s v="UA"/>
    <n v="91.2"/>
    <n v="91.2"/>
  </r>
  <r>
    <n v="96"/>
    <x v="34"/>
    <x v="5"/>
    <x v="0"/>
    <x v="2"/>
    <x v="1"/>
    <n v="1000287"/>
    <s v="SERV FRETE CAMINHAO PRANCHA AGRIC"/>
    <s v="FRETE BASE PIRAJUI I PARA PINDORAMA GLEBA B"/>
    <n v="4039"/>
    <x v="21"/>
    <n v="2410"/>
    <n v="371075"/>
    <n v="10781343"/>
    <n v="161"/>
    <s v="KM"/>
    <n v="12.28"/>
    <n v="1977.08"/>
  </r>
  <r>
    <n v="97"/>
    <x v="34"/>
    <x v="5"/>
    <x v="2"/>
    <x v="2"/>
    <x v="1"/>
    <n v="1000238"/>
    <s v="SERV DESP PEDAGIO"/>
    <s v="PEDAGIO FRETE BASE PIRAJUI I PARA PINDORAMA GLEBA B"/>
    <n v="4039"/>
    <x v="21"/>
    <n v="2410"/>
    <n v="371075"/>
    <n v="10781343"/>
    <n v="1"/>
    <s v="UA"/>
    <n v="92.4"/>
    <n v="92.4"/>
  </r>
  <r>
    <n v="98"/>
    <x v="34"/>
    <x v="5"/>
    <x v="0"/>
    <x v="2"/>
    <x v="1"/>
    <n v="1000287"/>
    <s v="SERV FRETE CAMINHAO PRANCHA AGRIC"/>
    <s v="FRETE FAZ SANTA ELISA I PARA PINDORAMA GLEBA B"/>
    <n v="4039"/>
    <x v="21"/>
    <n v="2410"/>
    <n v="371075"/>
    <n v="10781343"/>
    <n v="224"/>
    <s v="KM"/>
    <n v="12.28"/>
    <n v="2750.72"/>
  </r>
  <r>
    <n v="99"/>
    <x v="34"/>
    <x v="5"/>
    <x v="2"/>
    <x v="2"/>
    <x v="1"/>
    <n v="1000238"/>
    <s v="SERV DESP PEDAGIO"/>
    <s v="PEDAGIO FRETE FAZ SANTA ELISA I PARA PINDORAMA GLEBA B"/>
    <n v="4039"/>
    <x v="21"/>
    <n v="2410"/>
    <n v="371075"/>
    <n v="10781343"/>
    <n v="1"/>
    <s v="UA"/>
    <n v="45.6"/>
    <n v="45.6"/>
  </r>
  <r>
    <n v="100"/>
    <x v="35"/>
    <x v="5"/>
    <x v="0"/>
    <x v="2"/>
    <x v="1"/>
    <n v="1000287"/>
    <s v="SERV FRETE CAMINHAO PRANCHA AGRIC"/>
    <s v="FRETE FAZ PINDORA GLEBA C I PARA SANTA HELENA III"/>
    <n v="4050"/>
    <x v="22"/>
    <s v="0224"/>
    <n v="371075"/>
    <n v="10781343"/>
    <n v="360"/>
    <s v="KM"/>
    <n v="12.28"/>
    <n v="4420.8"/>
  </r>
  <r>
    <n v="101"/>
    <x v="35"/>
    <x v="5"/>
    <x v="2"/>
    <x v="2"/>
    <x v="1"/>
    <n v="1000238"/>
    <s v="SERV DESP PEDAGIO"/>
    <s v="PEDAGIO FRETE FAZ PINDORA GLEBA C I PARA SANTA HELENA III"/>
    <n v="4050"/>
    <x v="22"/>
    <s v="0224"/>
    <n v="371075"/>
    <n v="10781343"/>
    <n v="1"/>
    <s v="UA"/>
    <n v="225.6"/>
    <n v="225.6"/>
  </r>
  <r>
    <n v="102"/>
    <x v="36"/>
    <x v="5"/>
    <x v="0"/>
    <x v="2"/>
    <x v="1"/>
    <n v="1000287"/>
    <s v="SERV FRETE CAMINHAO PRANCHA AGRIC"/>
    <s v="FRETE FAZ AMERICANA I PARA LAGOA RICA"/>
    <n v="4001"/>
    <x v="18"/>
    <s v="0035"/>
    <n v="371075"/>
    <n v="10781343"/>
    <n v="337"/>
    <s v="KM"/>
    <n v="12.28"/>
    <n v="4138.3599999999997"/>
  </r>
  <r>
    <n v="103"/>
    <x v="36"/>
    <x v="5"/>
    <x v="2"/>
    <x v="2"/>
    <x v="1"/>
    <n v="1000238"/>
    <s v="SERV DESP PEDAGIO"/>
    <s v="PEDAGIO FRETE FAZ AMERICANA I PARA LAGOA RICA"/>
    <n v="4001"/>
    <x v="18"/>
    <s v="0035"/>
    <n v="371075"/>
    <n v="10781343"/>
    <n v="1"/>
    <s v="UA"/>
    <n v="262.2"/>
    <n v="262.2"/>
  </r>
  <r>
    <n v="104"/>
    <x v="36"/>
    <x v="5"/>
    <x v="0"/>
    <x v="4"/>
    <x v="1"/>
    <n v="1000287"/>
    <s v="SERV FRETE CAMINHAO PRANCHA AGRIC"/>
    <s v="FRETE FAZ AMERICANA I PARA LAGOA RICA"/>
    <n v="4001"/>
    <x v="18"/>
    <s v="0035"/>
    <n v="371065"/>
    <n v="10781343"/>
    <n v="322"/>
    <s v="KM"/>
    <n v="12.28"/>
    <n v="3954.16"/>
  </r>
  <r>
    <n v="105"/>
    <x v="36"/>
    <x v="5"/>
    <x v="2"/>
    <x v="4"/>
    <x v="1"/>
    <n v="1000238"/>
    <s v="SERV DESP PEDAGIO"/>
    <s v="PEDAGIO FRETE FAZ AMERICANA I PARA LAGOA RICA"/>
    <n v="4001"/>
    <x v="18"/>
    <s v="0035"/>
    <n v="371065"/>
    <n v="10781343"/>
    <n v="1"/>
    <s v="UA"/>
    <n v="259.43"/>
    <n v="259.43"/>
  </r>
  <r>
    <n v="106"/>
    <x v="37"/>
    <x v="5"/>
    <x v="0"/>
    <x v="4"/>
    <x v="1"/>
    <n v="1000287"/>
    <s v="SERV FRETE CAMINHAO PRANCHA AGRIC"/>
    <s v="FRETE FAZ LAGOA RICA I PARA AMERICANA"/>
    <n v="4048"/>
    <x v="7"/>
    <s v="0473"/>
    <n v="371065"/>
    <n v="10781343"/>
    <n v="313"/>
    <s v="KM"/>
    <n v="12.28"/>
    <n v="3843.64"/>
  </r>
  <r>
    <n v="107"/>
    <x v="37"/>
    <x v="5"/>
    <x v="2"/>
    <x v="4"/>
    <x v="1"/>
    <n v="1000238"/>
    <s v="SERV DESP PEDAGIO"/>
    <s v="PEDAGIO FRETE FAZ LAGOA RICA I PARA AMERICANA"/>
    <n v="4048"/>
    <x v="7"/>
    <s v="0473"/>
    <n v="371065"/>
    <n v="10781343"/>
    <n v="1"/>
    <s v="UA"/>
    <n v="296.63"/>
    <n v="296.63"/>
  </r>
  <r>
    <n v="108"/>
    <x v="38"/>
    <x v="5"/>
    <x v="0"/>
    <x v="3"/>
    <x v="1"/>
    <n v="1000287"/>
    <s v="SERV FRETE CAMINHAO PRANCHA AGRIC"/>
    <s v="FRETE FAZ SANTA THEREZIINHA I PARA SANTA HELENA III"/>
    <n v="4050"/>
    <x v="22"/>
    <s v="0224"/>
    <n v="371055"/>
    <n v="10781343"/>
    <n v="374"/>
    <s v="KM"/>
    <n v="12.28"/>
    <n v="4592.7199999999993"/>
  </r>
  <r>
    <n v="109"/>
    <x v="38"/>
    <x v="5"/>
    <x v="2"/>
    <x v="3"/>
    <x v="1"/>
    <n v="1000238"/>
    <s v="SERV DESP PEDAGIO"/>
    <s v="PEDAGIO FRETE FAZ SANTA THEREZINHA I PARA SANTA HELENA III"/>
    <n v="4050"/>
    <x v="22"/>
    <s v="0224"/>
    <n v="371055"/>
    <n v="10781343"/>
    <n v="1"/>
    <s v="UA"/>
    <n v="272.39999999999998"/>
    <n v="272.39999999999998"/>
  </r>
  <r>
    <n v="110"/>
    <x v="38"/>
    <x v="5"/>
    <x v="0"/>
    <x v="3"/>
    <x v="1"/>
    <n v="1000287"/>
    <s v="SERV FRETE CAMINHAO PRANCHA AGRIC"/>
    <s v="FRETE FAZ SANTA THEREZIINHA I PARA SANTA HELENA III"/>
    <n v="4050"/>
    <x v="22"/>
    <s v="0224"/>
    <n v="371055"/>
    <n v="10781343"/>
    <n v="366"/>
    <s v="KM"/>
    <n v="12.28"/>
    <n v="4494.4799999999996"/>
  </r>
  <r>
    <n v="111"/>
    <x v="38"/>
    <x v="5"/>
    <x v="2"/>
    <x v="3"/>
    <x v="1"/>
    <n v="1000238"/>
    <s v="SERV DESP PEDAGIO"/>
    <s v="PEDAGIO FRETE FAZ SANTA THEREZINHA I PARA SANTA HELENA III"/>
    <n v="4050"/>
    <x v="22"/>
    <s v="0224"/>
    <n v="371055"/>
    <n v="10781343"/>
    <n v="1"/>
    <s v="UA"/>
    <n v="272.39999999999998"/>
    <n v="272.39999999999998"/>
  </r>
  <r>
    <n v="112"/>
    <x v="39"/>
    <x v="5"/>
    <x v="0"/>
    <x v="4"/>
    <x v="1"/>
    <n v="1000287"/>
    <s v="SERV FRETE CAMINHAO PRANCHA AGRIC"/>
    <s v="FRETE FAZ MACEDONIA I PARA BOA VISTA II"/>
    <n v="4067"/>
    <x v="6"/>
    <s v="0098"/>
    <n v="371065"/>
    <n v="10781343"/>
    <n v="181"/>
    <s v="KM"/>
    <n v="12.28"/>
    <n v="2222.6799999999998"/>
  </r>
  <r>
    <n v="113"/>
    <x v="39"/>
    <x v="5"/>
    <x v="2"/>
    <x v="4"/>
    <x v="1"/>
    <n v="1000238"/>
    <s v="SERV DESP PEDAGIO"/>
    <s v="PEDAGIO FRETE FAZ MACEDONIA I PARA BOA VISTA II"/>
    <n v="4067"/>
    <x v="6"/>
    <s v="0098"/>
    <n v="371065"/>
    <n v="10781343"/>
    <n v="1"/>
    <s v="UA"/>
    <n v="165.09"/>
    <n v="165.09"/>
  </r>
  <r>
    <n v="114"/>
    <x v="39"/>
    <x v="5"/>
    <x v="0"/>
    <x v="4"/>
    <x v="1"/>
    <n v="1000287"/>
    <s v="SERV FRETE CAMINHAO PRANCHA AGRIC"/>
    <s v="FRETE FAZ AMERICANA PARA MACEDONIA"/>
    <n v="4048"/>
    <x v="7"/>
    <s v="0478"/>
    <n v="371065"/>
    <n v="10781343"/>
    <n v="122"/>
    <s v="KM"/>
    <n v="12.28"/>
    <n v="1498.1599999999999"/>
  </r>
  <r>
    <n v="115"/>
    <x v="39"/>
    <x v="5"/>
    <x v="2"/>
    <x v="4"/>
    <x v="1"/>
    <n v="1000238"/>
    <s v="SERV DESP PEDAGIO"/>
    <s v="PEDAGIO FRETE FAZ AMERICANA PARA MACEDONIA"/>
    <n v="4048"/>
    <x v="7"/>
    <s v="0478"/>
    <n v="371065"/>
    <n v="10781343"/>
    <n v="1"/>
    <s v="UA"/>
    <n v="86.63"/>
    <n v="86.63"/>
  </r>
  <r>
    <n v="116"/>
    <x v="39"/>
    <x v="5"/>
    <x v="0"/>
    <x v="2"/>
    <x v="1"/>
    <n v="1000287"/>
    <s v="SERV FRETE CAMINHAO PRANCHA AGRIC"/>
    <s v="FRETE FAZ PINDORAMA II PARA SANTA HELENA III"/>
    <n v="4050"/>
    <x v="22"/>
    <s v="0224"/>
    <n v="371075"/>
    <n v="10781343"/>
    <n v="411"/>
    <s v="KM"/>
    <n v="12.28"/>
    <n v="5047.08"/>
  </r>
  <r>
    <n v="117"/>
    <x v="39"/>
    <x v="5"/>
    <x v="2"/>
    <x v="2"/>
    <x v="1"/>
    <n v="1000238"/>
    <s v="SERV DESP PEDAGIO"/>
    <s v="PEDAGIO FRETE FAZ PINDORAMA II PARA SANTA HELENA III"/>
    <n v="4050"/>
    <x v="22"/>
    <s v="0224"/>
    <n v="371075"/>
    <n v="10781343"/>
    <n v="1"/>
    <s v="UA"/>
    <n v="272.39999999999998"/>
    <n v="272.39999999999998"/>
  </r>
  <r>
    <n v="118"/>
    <x v="39"/>
    <x v="5"/>
    <x v="0"/>
    <x v="2"/>
    <x v="1"/>
    <n v="1000287"/>
    <s v="SERV FRETE CAMINHAO PRANCHA AGRIC"/>
    <s v="FRETE FAZ PINDORAMA II PARA SANTA HELENA III"/>
    <n v="4050"/>
    <x v="22"/>
    <s v="0224"/>
    <n v="371075"/>
    <n v="10781343"/>
    <n v="407"/>
    <s v="KM"/>
    <n v="12.28"/>
    <n v="4997.96"/>
  </r>
  <r>
    <n v="119"/>
    <x v="39"/>
    <x v="5"/>
    <x v="2"/>
    <x v="2"/>
    <x v="1"/>
    <n v="1000238"/>
    <s v="SERV DESP PEDAGIO"/>
    <s v="PEDAGIO FRETE FAZ PINDORAMA II PARA SANTA HELENA III"/>
    <n v="4050"/>
    <x v="22"/>
    <s v="0224"/>
    <n v="371075"/>
    <n v="10781343"/>
    <n v="1"/>
    <s v="UA"/>
    <n v="272.39999999999998"/>
    <n v="272.39999999999998"/>
  </r>
  <r>
    <n v="120"/>
    <x v="33"/>
    <x v="2"/>
    <x v="0"/>
    <x v="5"/>
    <x v="0"/>
    <n v="1000287"/>
    <s v="SERV FRETE CAMINHAO PRANCHA AGRIC"/>
    <s v="FRETE FAZ SANTA THEREZINHA"/>
    <n v="4002"/>
    <x v="19"/>
    <s v="2263"/>
    <n v="371045"/>
    <n v="10781585"/>
    <n v="201.1"/>
    <s v="KM"/>
    <n v="13.69"/>
    <n v="2753.0589999999997"/>
  </r>
  <r>
    <n v="121"/>
    <x v="33"/>
    <x v="2"/>
    <x v="2"/>
    <x v="5"/>
    <x v="0"/>
    <n v="1000238"/>
    <s v="SERV DESP PEDAGIO"/>
    <s v="PEDAGIO FRETE FAZ SANTA THEREZINHA"/>
    <n v="4002"/>
    <x v="19"/>
    <s v="2263"/>
    <n v="371045"/>
    <n v="10781585"/>
    <n v="1"/>
    <s v="UA"/>
    <n v="237.3"/>
    <n v="237.3"/>
  </r>
  <r>
    <n v="122"/>
    <x v="33"/>
    <x v="2"/>
    <x v="8"/>
    <x v="5"/>
    <x v="0"/>
    <n v="1000274"/>
    <s v="SERV ESCAV HIDR 21 TON AGRIC"/>
    <s v="SERV DE ESCAVADEIRA FAZ SANTA THEREZINHA"/>
    <n v="4002"/>
    <x v="19"/>
    <s v="2263"/>
    <n v="371045"/>
    <n v="10781585"/>
    <n v="3.5"/>
    <s v="HORA"/>
    <n v="321.8"/>
    <n v="1126.3"/>
  </r>
  <r>
    <n v="123"/>
    <x v="33"/>
    <x v="2"/>
    <x v="1"/>
    <x v="5"/>
    <x v="0"/>
    <n v="1000287"/>
    <s v="SERV FRETE CAMINHAO PRANCHA AGRIC"/>
    <s v="FRANQUIA FRETE FAZ SANTA THEREZINHA"/>
    <n v="4002"/>
    <x v="19"/>
    <s v="2263"/>
    <n v="371045"/>
    <n v="10781585"/>
    <n v="250"/>
    <s v="KM"/>
    <n v="13.69"/>
    <n v="3422.5"/>
  </r>
  <r>
    <n v="124"/>
    <x v="40"/>
    <x v="5"/>
    <x v="0"/>
    <x v="4"/>
    <x v="0"/>
    <n v="1000287"/>
    <s v="SERV FRETE CAMINHAO PRANCHA AGRIC"/>
    <s v="FRETE FAZ BOA VISTA II PARA FAZ TAPERA QUEIMADA"/>
    <n v="4016"/>
    <x v="5"/>
    <s v="0019"/>
    <n v="371065"/>
    <n v="10781585"/>
    <n v="656"/>
    <s v="KM"/>
    <n v="13.69"/>
    <n v="8980.64"/>
  </r>
  <r>
    <n v="125"/>
    <x v="40"/>
    <x v="5"/>
    <x v="2"/>
    <x v="4"/>
    <x v="0"/>
    <n v="1000238"/>
    <s v="SERV DESP PEDAGIO"/>
    <s v="PEDAGIO FRETE FAZ BOA VISTA II PARA FAZ TAPERA QUEIMADA"/>
    <n v="4016"/>
    <x v="5"/>
    <s v="0019"/>
    <n v="371065"/>
    <n v="10781585"/>
    <n v="1"/>
    <s v="UA"/>
    <n v="466.2"/>
    <n v="466.2"/>
  </r>
  <r>
    <n v="126"/>
    <x v="36"/>
    <x v="5"/>
    <x v="0"/>
    <x v="4"/>
    <x v="0"/>
    <n v="1000287"/>
    <s v="SERV FRETE CAMINHAO PRANCHA AGRIC"/>
    <s v="FRETE FAZ TAPERA QUEIMADA PARA LAGOA RICA"/>
    <n v="4001"/>
    <x v="18"/>
    <s v="0035"/>
    <n v="371065"/>
    <n v="10781585"/>
    <n v="613"/>
    <s v="KM"/>
    <n v="13.69"/>
    <n v="8391.9699999999993"/>
  </r>
  <r>
    <n v="127"/>
    <x v="36"/>
    <x v="5"/>
    <x v="2"/>
    <x v="4"/>
    <x v="0"/>
    <n v="1000238"/>
    <s v="SERV DESP PEDAGIO"/>
    <s v="PEDAGIO FRETE FAZ TAPERA QUEIMADA PARA LAGOA RICA"/>
    <n v="4001"/>
    <x v="18"/>
    <s v="0035"/>
    <n v="371065"/>
    <n v="10781585"/>
    <n v="1"/>
    <s v="UA"/>
    <n v="325.3"/>
    <n v="325.3"/>
  </r>
  <r>
    <n v="128"/>
    <x v="38"/>
    <x v="5"/>
    <x v="0"/>
    <x v="2"/>
    <x v="0"/>
    <n v="1000287"/>
    <s v="SERV FRETE CAMINHAO PRANCHA AGRIC"/>
    <s v="FRETE FAZ SANTA THEREZINHA VII PARA SANTA HELENA III"/>
    <n v="4050"/>
    <x v="22"/>
    <s v="0224"/>
    <n v="371055"/>
    <n v="10781585"/>
    <n v="694.8"/>
    <s v="KM"/>
    <n v="13.69"/>
    <n v="9511.8119999999999"/>
  </r>
  <r>
    <n v="129"/>
    <x v="38"/>
    <x v="5"/>
    <x v="2"/>
    <x v="2"/>
    <x v="0"/>
    <n v="1000238"/>
    <s v="SERV DESP PEDAGIO"/>
    <s v="PEDAGIO FRETE FAZ SANTA THEREZINHA VII PARA SANTA HELENA III"/>
    <n v="4050"/>
    <x v="22"/>
    <s v="0224"/>
    <n v="371055"/>
    <n v="10781585"/>
    <n v="1"/>
    <s v="UA"/>
    <n v="491.4"/>
    <n v="491.4"/>
  </r>
  <r>
    <n v="130"/>
    <x v="38"/>
    <x v="5"/>
    <x v="1"/>
    <x v="2"/>
    <x v="0"/>
    <n v="1000287"/>
    <s v="SERV FRETE CAMINHAO PRANCHA AGRIC"/>
    <s v="FRANQUIA FRETE FAZ SANTA THEREZINHA VII PARA SANTA HELENA III"/>
    <n v="4050"/>
    <x v="22"/>
    <s v="0224"/>
    <n v="371055"/>
    <n v="10781585"/>
    <n v="500"/>
    <s v="KM"/>
    <n v="13.69"/>
    <n v="6845"/>
  </r>
  <r>
    <n v="131"/>
    <x v="39"/>
    <x v="5"/>
    <x v="0"/>
    <x v="4"/>
    <x v="0"/>
    <n v="1000287"/>
    <s v="SERV FRETE CAMINHAO PRANCHA AGRIC"/>
    <s v="FRETE FAZ LAGOA RICA PARA BOA VISTA II"/>
    <n v="4067"/>
    <x v="6"/>
    <s v="0098"/>
    <n v="371065"/>
    <n v="10781585"/>
    <n v="568.70000000000005"/>
    <s v="KM"/>
    <n v="13.69"/>
    <n v="7785.5030000000006"/>
  </r>
  <r>
    <n v="132"/>
    <x v="39"/>
    <x v="5"/>
    <x v="2"/>
    <x v="4"/>
    <x v="0"/>
    <n v="1000238"/>
    <s v="SERV DESP PEDAGIO"/>
    <s v="PEDAGIO FRETE FAZ LAGOA RICA PARA BOA VISTA II"/>
    <n v="4067"/>
    <x v="6"/>
    <s v="0098"/>
    <n v="371065"/>
    <n v="10781585"/>
    <n v="1"/>
    <s v="UA"/>
    <n v="464.1"/>
    <n v="464.1"/>
  </r>
  <r>
    <n v="133"/>
    <x v="39"/>
    <x v="5"/>
    <x v="1"/>
    <x v="4"/>
    <x v="0"/>
    <n v="1000287"/>
    <s v="SERV FRETE CAMINHAO PRANCHA AGRIC"/>
    <s v="FRANQUIA FRETE FAZ LAGOA RICA PARA BOA VISTA II"/>
    <n v="4067"/>
    <x v="6"/>
    <s v="0098"/>
    <n v="371065"/>
    <n v="10781585"/>
    <n v="500"/>
    <s v="KM"/>
    <n v="13.69"/>
    <n v="6845"/>
  </r>
  <r>
    <n v="134"/>
    <x v="39"/>
    <x v="5"/>
    <x v="0"/>
    <x v="2"/>
    <x v="0"/>
    <n v="1000287"/>
    <s v="SERV FRETE CAMINHAO PRANCHA AGRIC"/>
    <s v="FRETE FAZ PINDORAMA II PARA OFICINA GUTIERRES"/>
    <n v="4039"/>
    <x v="21"/>
    <s v="2410"/>
    <n v="371075"/>
    <n v="10781585"/>
    <n v="173"/>
    <s v="KM"/>
    <n v="13.69"/>
    <n v="2368.37"/>
  </r>
  <r>
    <n v="135"/>
    <x v="39"/>
    <x v="5"/>
    <x v="2"/>
    <x v="2"/>
    <x v="0"/>
    <n v="1000238"/>
    <s v="SERV DESP PEDAGIO"/>
    <s v="PEDAGIO FRETE FAZ PINDORAMA II PARA OFICINA GUTIERRES"/>
    <n v="4039"/>
    <x v="21"/>
    <s v="2410"/>
    <n v="371075"/>
    <n v="10781585"/>
    <n v="1"/>
    <s v="UA"/>
    <n v="76"/>
    <n v="76"/>
  </r>
  <r>
    <n v="136"/>
    <x v="39"/>
    <x v="5"/>
    <x v="0"/>
    <x v="2"/>
    <x v="0"/>
    <n v="1000287"/>
    <s v="SERV FRETE CAMINHAO PRANCHA AGRIC"/>
    <s v="FRETE PIRAJUI PARA JULIO MESQUITA TRANSB PRANCHA"/>
    <n v="4050"/>
    <x v="22"/>
    <s v="0224"/>
    <n v="371075"/>
    <n v="10781585"/>
    <n v="238"/>
    <s v="KM"/>
    <n v="13.69"/>
    <n v="3258.22"/>
  </r>
  <r>
    <n v="137"/>
    <x v="39"/>
    <x v="5"/>
    <x v="2"/>
    <x v="2"/>
    <x v="0"/>
    <n v="1000238"/>
    <s v="SERV DESP PEDAGIO"/>
    <s v="PEDAGIO FRETE PIRAJUI PARA JULIO MESQUITA TRANSB PRANCHA"/>
    <n v="4050"/>
    <x v="22"/>
    <s v="0224"/>
    <n v="371075"/>
    <n v="10781585"/>
    <n v="1"/>
    <s v="UA"/>
    <n v="181.2"/>
    <n v="181.2"/>
  </r>
  <r>
    <n v="138"/>
    <x v="41"/>
    <x v="5"/>
    <x v="0"/>
    <x v="3"/>
    <x v="0"/>
    <n v="1000287"/>
    <s v="SERV FRETE CAMINHAO PRANCHA AGRIC"/>
    <s v="FRETE SANTA HELENA X  PARA CARRETAO I"/>
    <n v="4071"/>
    <x v="16"/>
    <s v="0236"/>
    <n v="371055"/>
    <n v="10783519"/>
    <n v="751.3"/>
    <s v="KM"/>
    <n v="13.69"/>
    <n v="10285.296999999999"/>
  </r>
  <r>
    <n v="139"/>
    <x v="41"/>
    <x v="5"/>
    <x v="2"/>
    <x v="3"/>
    <x v="0"/>
    <n v="1000238"/>
    <s v="SERV DESP PEDAGIO"/>
    <s v="PEDAGIO FRETE SANTA HELENA X  PARA CARRETAO I"/>
    <n v="4071"/>
    <x v="16"/>
    <s v="0236"/>
    <n v="371055"/>
    <n v="10783519"/>
    <n v="1"/>
    <s v="UA"/>
    <n v="589.77"/>
    <n v="589.77"/>
  </r>
  <r>
    <n v="140"/>
    <x v="42"/>
    <x v="5"/>
    <x v="0"/>
    <x v="3"/>
    <x v="0"/>
    <n v="1000287"/>
    <s v="SERV FRETE CAMINHAO PRANCHA AGRIC"/>
    <s v="FRETE CARRETAO I  PARA OFICINA LENCOIS"/>
    <n v="4071"/>
    <x v="16"/>
    <s v="0236"/>
    <n v="371055"/>
    <n v="10783519"/>
    <n v="227"/>
    <s v="KM"/>
    <n v="13.69"/>
    <n v="3107.63"/>
  </r>
  <r>
    <n v="141"/>
    <x v="42"/>
    <x v="5"/>
    <x v="2"/>
    <x v="3"/>
    <x v="0"/>
    <n v="1000238"/>
    <s v="SERV DESP PEDAGIO"/>
    <s v="PEDAGIO FRETE CARRETAO I  PARA OFICINA LENCOIS"/>
    <n v="4071"/>
    <x v="16"/>
    <s v="0236"/>
    <n v="371055"/>
    <n v="10783519"/>
    <n v="1"/>
    <s v="UA"/>
    <n v="202.8"/>
    <n v="202.8"/>
  </r>
  <r>
    <n v="142"/>
    <x v="42"/>
    <x v="5"/>
    <x v="0"/>
    <x v="3"/>
    <x v="0"/>
    <n v="1000287"/>
    <s v="SERV FRETE CAMINHAO PRANCHA AGRIC"/>
    <s v="FRETE CARRETAO I  PARA SANTA HELENA"/>
    <n v="4050"/>
    <x v="22"/>
    <s v="0224"/>
    <n v="371055"/>
    <n v="10783519"/>
    <n v="365.3"/>
    <s v="KM"/>
    <n v="13.69"/>
    <n v="5000.9570000000003"/>
  </r>
  <r>
    <n v="143"/>
    <x v="42"/>
    <x v="5"/>
    <x v="2"/>
    <x v="3"/>
    <x v="0"/>
    <n v="1000238"/>
    <s v="SERV DESP PEDAGIO"/>
    <s v="PEDAGIO FRETE CARRETAO I  PARA SANTA HELENA"/>
    <n v="4050"/>
    <x v="22"/>
    <s v="0224"/>
    <n v="371055"/>
    <n v="10783519"/>
    <n v="1"/>
    <s v="UA"/>
    <n v="221.9"/>
    <n v="221.9"/>
  </r>
  <r>
    <n v="144"/>
    <x v="42"/>
    <x v="5"/>
    <x v="1"/>
    <x v="3"/>
    <x v="0"/>
    <n v="1000287"/>
    <s v="SERV FRETE CAMINHAO PRANCHA AGRIC"/>
    <s v="FRANQUIA FRETE CARRETAO I  PARA SANTA HELENA"/>
    <n v="4050"/>
    <x v="22"/>
    <s v="0224"/>
    <n v="371055"/>
    <n v="10783519"/>
    <n v="250"/>
    <s v="KM"/>
    <n v="13.69"/>
    <n v="3422.5"/>
  </r>
  <r>
    <n v="145"/>
    <x v="43"/>
    <x v="5"/>
    <x v="0"/>
    <x v="5"/>
    <x v="0"/>
    <n v="1000287"/>
    <s v="SERV FRETE CAMINHAO PRANCHA AGRIC"/>
    <s v="FRETE JATOBA II PARA FORQUILHA II"/>
    <n v="4002"/>
    <x v="19"/>
    <s v="0090"/>
    <n v="371045"/>
    <n v="10783519"/>
    <n v="493"/>
    <s v="KM"/>
    <n v="13.69"/>
    <n v="6749.17"/>
  </r>
  <r>
    <n v="146"/>
    <x v="43"/>
    <x v="5"/>
    <x v="2"/>
    <x v="5"/>
    <x v="0"/>
    <n v="1000238"/>
    <s v="SERV DESP PEDAGIO"/>
    <s v="PEDAGIO FRETE JATOBA II PARA FORQUILHA II"/>
    <n v="4002"/>
    <x v="19"/>
    <s v="0090"/>
    <n v="371045"/>
    <n v="10783519"/>
    <n v="1"/>
    <s v="UA"/>
    <n v="302.39999999999998"/>
    <n v="302.39999999999998"/>
  </r>
  <r>
    <n v="147"/>
    <x v="44"/>
    <x v="5"/>
    <x v="0"/>
    <x v="3"/>
    <x v="0"/>
    <n v="1000287"/>
    <s v="SERV FRETE CAMINHAO PRANCHA AGRIC"/>
    <s v="FRETE DIVISAO FLORESTAL PARA PORTO BELO"/>
    <n v="4031"/>
    <x v="17"/>
    <s v="0233"/>
    <n v="371055"/>
    <n v="10783519"/>
    <n v="249.1"/>
    <s v="KM"/>
    <n v="13.69"/>
    <n v="3410.1789999999996"/>
  </r>
  <r>
    <n v="148"/>
    <x v="44"/>
    <x v="5"/>
    <x v="2"/>
    <x v="3"/>
    <x v="0"/>
    <n v="1000238"/>
    <s v="SERV DESP PEDAGIO"/>
    <s v="PEDAGIO FRETE DIVISAO FLORESTAL PARA PORTO BELO"/>
    <n v="4031"/>
    <x v="17"/>
    <s v="0233"/>
    <n v="371055"/>
    <n v="10783519"/>
    <n v="1"/>
    <s v="UA"/>
    <n v="101.4"/>
    <n v="101.4"/>
  </r>
  <r>
    <n v="149"/>
    <x v="44"/>
    <x v="5"/>
    <x v="0"/>
    <x v="2"/>
    <x v="0"/>
    <n v="1000287"/>
    <s v="SERV FRETE CAMINHAO PRANCHA AGRIC"/>
    <s v="FRETE ESTIVA PARA SANTA MARIA III"/>
    <n v="4063"/>
    <x v="23"/>
    <s v="0219"/>
    <n v="371075"/>
    <n v="10783519"/>
    <n v="377.8"/>
    <s v="KM"/>
    <n v="13.69"/>
    <n v="5172.0820000000003"/>
  </r>
  <r>
    <n v="150"/>
    <x v="44"/>
    <x v="5"/>
    <x v="2"/>
    <x v="2"/>
    <x v="0"/>
    <n v="1000238"/>
    <s v="SERV DESP PEDAGIO"/>
    <s v="PEDAGIO FRETE ESTIVA PARA SANTA MARIA III"/>
    <n v="4063"/>
    <x v="23"/>
    <s v="0219"/>
    <n v="371075"/>
    <n v="10783519"/>
    <n v="1"/>
    <s v="UA"/>
    <n v="109.2"/>
    <n v="109.2"/>
  </r>
  <r>
    <n v="151"/>
    <x v="45"/>
    <x v="5"/>
    <x v="0"/>
    <x v="5"/>
    <x v="0"/>
    <n v="1000287"/>
    <s v="SERV FRETE CAMINHAO PRANCHA AGRIC"/>
    <s v="FRETE FORQUILHA II PARA SÃO JOAO V"/>
    <n v="4068"/>
    <x v="24"/>
    <s v="0227"/>
    <n v="371045"/>
    <n v="10783519"/>
    <n v="257.89999999999998"/>
    <s v="KM"/>
    <n v="13.69"/>
    <n v="3530.6509999999994"/>
  </r>
  <r>
    <n v="152"/>
    <x v="45"/>
    <x v="5"/>
    <x v="2"/>
    <x v="5"/>
    <x v="0"/>
    <n v="1000238"/>
    <s v="SERV DESP PEDAGIO"/>
    <s v="PEDAGIO FRETE FORQUILHA II PARA SÃO JOAO V"/>
    <n v="4068"/>
    <x v="24"/>
    <s v="0227"/>
    <n v="371045"/>
    <n v="10783519"/>
    <n v="1"/>
    <s v="UA"/>
    <n v="184.8"/>
    <n v="184.8"/>
  </r>
  <r>
    <n v="153"/>
    <x v="45"/>
    <x v="5"/>
    <x v="1"/>
    <x v="5"/>
    <x v="0"/>
    <n v="1000287"/>
    <s v="SERV FRETE CAMINHAO PRANCHA AGRIC"/>
    <s v="FRANQUIA FRETE FORQUILHA II PARA SÃO JOAO V"/>
    <n v="4068"/>
    <x v="24"/>
    <s v="0227"/>
    <n v="371045"/>
    <n v="10783519"/>
    <n v="250"/>
    <s v="KM"/>
    <n v="13.69"/>
    <n v="3422.5"/>
  </r>
  <r>
    <n v="154"/>
    <x v="46"/>
    <x v="5"/>
    <x v="0"/>
    <x v="5"/>
    <x v="0"/>
    <n v="1000287"/>
    <s v="SERV FRETE CAMINHAO PRANCHA AGRIC"/>
    <s v="FRETE FORQUILHA II PARA SÃO JOAO V"/>
    <n v="4068"/>
    <x v="24"/>
    <s v="0227"/>
    <n v="371045"/>
    <n v="10783519"/>
    <n v="251.5"/>
    <s v="KM"/>
    <n v="13.69"/>
    <n v="3443.0349999999999"/>
  </r>
  <r>
    <n v="155"/>
    <x v="46"/>
    <x v="5"/>
    <x v="2"/>
    <x v="5"/>
    <x v="0"/>
    <n v="1000238"/>
    <s v="SERV DESP PEDAGIO"/>
    <s v="PEDAGIO FRETE FORQUILHA II PARA SÃO JOAO V"/>
    <n v="4068"/>
    <x v="24"/>
    <s v="0227"/>
    <n v="371045"/>
    <n v="10783519"/>
    <n v="1"/>
    <s v="UA"/>
    <n v="184.8"/>
    <n v="184.8"/>
  </r>
  <r>
    <n v="156"/>
    <x v="47"/>
    <x v="5"/>
    <x v="0"/>
    <x v="2"/>
    <x v="1"/>
    <n v="1000287"/>
    <s v="SERV FRETE CAMINHAO PRANCHA AGRIC"/>
    <s v="FRETE OFICINA TERRA VERDE PARA PINDORAMA II GLEBA B"/>
    <n v="4039"/>
    <x v="21"/>
    <s v="2410"/>
    <n v="371075"/>
    <n v="10787837"/>
    <n v="250"/>
    <s v="KM"/>
    <n v="12.28"/>
    <n v="3070"/>
  </r>
  <r>
    <n v="157"/>
    <x v="47"/>
    <x v="5"/>
    <x v="2"/>
    <x v="2"/>
    <x v="1"/>
    <n v="1000238"/>
    <s v="SERV DESP PEDAGIO"/>
    <s v="PEDAGIO FRETE OFICINA TERRA VERDE PARA PINDORAMA II GLEBA B"/>
    <n v="4039"/>
    <x v="25"/>
    <n v="7901"/>
    <n v="371075"/>
    <n v="10787837"/>
    <n v="1"/>
    <s v="UA"/>
    <n v="98.8"/>
    <n v="98.8"/>
  </r>
  <r>
    <n v="158"/>
    <x v="41"/>
    <x v="5"/>
    <x v="0"/>
    <x v="2"/>
    <x v="1"/>
    <n v="1000287"/>
    <s v="SERV FRETE CAMINHAO PRANCHA AGRIC"/>
    <s v="FRETE SANTA HELENA III VERDE PARA PINDORAMA II GLEBA B"/>
    <n v="4039"/>
    <x v="21"/>
    <s v="2410"/>
    <n v="371075"/>
    <n v="10787837"/>
    <n v="356"/>
    <s v="KM"/>
    <n v="12.28"/>
    <n v="4371.6799999999994"/>
  </r>
  <r>
    <n v="159"/>
    <x v="41"/>
    <x v="5"/>
    <x v="2"/>
    <x v="2"/>
    <x v="1"/>
    <n v="1000238"/>
    <s v="SERV DESP PEDAGIO"/>
    <s v="PEDAGIO FRETE SANTA HELENA III VERDE PARA PINDORAMA II GLEBA B"/>
    <n v="4039"/>
    <x v="25"/>
    <n v="7901"/>
    <n v="371075"/>
    <n v="10787837"/>
    <n v="1"/>
    <s v="UA"/>
    <n v="225.6"/>
    <n v="225.6"/>
  </r>
  <r>
    <n v="160"/>
    <x v="48"/>
    <x v="5"/>
    <x v="0"/>
    <x v="5"/>
    <x v="1"/>
    <n v="1000287"/>
    <s v="SERV FRETE CAMINHAO PRANCHA AGRIC"/>
    <s v="FRETE BOA VISTA II VERDE PARA JATOBA"/>
    <n v="4067"/>
    <x v="6"/>
    <s v="0105"/>
    <n v="371045"/>
    <n v="10787837"/>
    <n v="125"/>
    <s v="KM"/>
    <n v="12.28"/>
    <n v="1535"/>
  </r>
  <r>
    <n v="162"/>
    <x v="48"/>
    <x v="5"/>
    <x v="0"/>
    <x v="5"/>
    <x v="1"/>
    <n v="1000287"/>
    <s v="SERV FRETE CAMINHAO PRANCHA AGRIC"/>
    <s v="FRETE MACEDONIA PARA BOA VISTA II"/>
    <n v="4067"/>
    <x v="6"/>
    <s v="0098"/>
    <n v="371045"/>
    <n v="10787837"/>
    <n v="125"/>
    <s v="KM"/>
    <n v="12.28"/>
    <n v="1535"/>
  </r>
  <r>
    <n v="164"/>
    <x v="43"/>
    <x v="5"/>
    <x v="0"/>
    <x v="4"/>
    <x v="1"/>
    <n v="1000287"/>
    <s v="SERV FRETE CAMINHAO PRANCHA AGRIC"/>
    <s v="FRETE BOA VISTA II PARA UNESP"/>
    <n v="4067"/>
    <x v="6"/>
    <s v="0098"/>
    <n v="371065"/>
    <n v="10787837"/>
    <n v="125"/>
    <s v="KM"/>
    <n v="12.28"/>
    <n v="1535"/>
  </r>
  <r>
    <n v="166"/>
    <x v="43"/>
    <x v="5"/>
    <x v="0"/>
    <x v="4"/>
    <x v="1"/>
    <n v="1000287"/>
    <s v="SERV FRETE CAMINHAO PRANCHA AGRIC"/>
    <s v="FRETE UNESP PARA BOA VISTA II"/>
    <n v="4067"/>
    <x v="6"/>
    <s v="0098"/>
    <n v="371065"/>
    <n v="10787837"/>
    <n v="125"/>
    <s v="KM"/>
    <n v="12.28"/>
    <n v="1535"/>
  </r>
  <r>
    <n v="168"/>
    <x v="49"/>
    <x v="5"/>
    <x v="0"/>
    <x v="2"/>
    <x v="1"/>
    <n v="1000287"/>
    <s v="SERV FRETE CAMINHAO PRANCHA AGRIC"/>
    <s v="FRETE PINDORAMA II GLEBA B PARA SANTA HELENA III"/>
    <n v="4050"/>
    <x v="22"/>
    <s v="0224"/>
    <n v="371075"/>
    <n v="10787837"/>
    <n v="357"/>
    <s v="KM"/>
    <n v="12.28"/>
    <n v="4383.96"/>
  </r>
  <r>
    <n v="169"/>
    <x v="49"/>
    <x v="5"/>
    <x v="2"/>
    <x v="2"/>
    <x v="1"/>
    <n v="1000238"/>
    <s v="SERV DESP PEDAGIO"/>
    <s v="PEDAGIO FRETE PINDORAMA II GLEBA B PARA SANTA HELENA III"/>
    <n v="4050"/>
    <x v="25"/>
    <n v="7901"/>
    <n v="371075"/>
    <n v="10787837"/>
    <n v="1"/>
    <s v="UA"/>
    <n v="225.6"/>
    <n v="225.6"/>
  </r>
  <r>
    <n v="170"/>
    <x v="45"/>
    <x v="5"/>
    <x v="0"/>
    <x v="4"/>
    <x v="1"/>
    <n v="1000287"/>
    <s v="SERV FRETE CAMINHAO PRANCHA AGRIC"/>
    <s v="FRETE MACEDONIA PARA FORQUILHA II"/>
    <n v="4002"/>
    <x v="19"/>
    <s v="0090"/>
    <n v="371065"/>
    <n v="10787837"/>
    <n v="274"/>
    <s v="KM"/>
    <n v="12.28"/>
    <n v="3364.72"/>
  </r>
  <r>
    <n v="171"/>
    <x v="45"/>
    <x v="5"/>
    <x v="2"/>
    <x v="4"/>
    <x v="1"/>
    <n v="1000238"/>
    <s v="SERV DESP PEDAGIO"/>
    <s v="PEDAGIO FRETE MACEDONIA PARA FORQUILHA II"/>
    <n v="4002"/>
    <x v="25"/>
    <n v="7901"/>
    <n v="371065"/>
    <n v="10787837"/>
    <n v="1"/>
    <s v="UA"/>
    <n v="160.80000000000001"/>
    <n v="160.80000000000001"/>
  </r>
  <r>
    <n v="172"/>
    <x v="45"/>
    <x v="5"/>
    <x v="0"/>
    <x v="4"/>
    <x v="1"/>
    <n v="1000287"/>
    <s v="SERV FRETE CAMINHAO PRANCHA AGRIC"/>
    <s v="FRETE MACEDONIA PARA FORQUILHA II"/>
    <n v="4002"/>
    <x v="19"/>
    <s v="0090"/>
    <n v="371065"/>
    <n v="10787837"/>
    <n v="270"/>
    <s v="KM"/>
    <n v="12.28"/>
    <n v="3315.6"/>
  </r>
  <r>
    <n v="173"/>
    <x v="45"/>
    <x v="5"/>
    <x v="2"/>
    <x v="4"/>
    <x v="1"/>
    <n v="1000238"/>
    <s v="SERV DESP PEDAGIO"/>
    <s v="PEDAGIO FRETE MACEDONIA PARA FORQUILHA II"/>
    <n v="4002"/>
    <x v="25"/>
    <n v="7901"/>
    <n v="371065"/>
    <n v="10787837"/>
    <n v="1"/>
    <s v="UA"/>
    <n v="119.1"/>
    <n v="119.1"/>
  </r>
  <r>
    <n v="174"/>
    <x v="45"/>
    <x v="5"/>
    <x v="0"/>
    <x v="4"/>
    <x v="1"/>
    <n v="1000287"/>
    <s v="SERV FRETE CAMINHAO PRANCHA AGRIC"/>
    <s v="FRETE MACEDONIA PARA FORQUILHA II"/>
    <n v="4002"/>
    <x v="19"/>
    <s v="0090"/>
    <n v="371065"/>
    <n v="10787837"/>
    <n v="326"/>
    <s v="KM"/>
    <n v="12.28"/>
    <n v="4003.2799999999997"/>
  </r>
  <r>
    <n v="175"/>
    <x v="45"/>
    <x v="5"/>
    <x v="2"/>
    <x v="4"/>
    <x v="1"/>
    <n v="1000238"/>
    <s v="SERV DESP PEDAGIO"/>
    <s v="PEDAGIO FRETE MACEDONIA PARA FORQUILHA II"/>
    <n v="4002"/>
    <x v="25"/>
    <n v="7901"/>
    <n v="371065"/>
    <n v="10787837"/>
    <n v="1"/>
    <s v="UA"/>
    <n v="160.80000000000001"/>
    <n v="160.80000000000001"/>
  </r>
  <r>
    <n v="176"/>
    <x v="50"/>
    <x v="5"/>
    <x v="0"/>
    <x v="4"/>
    <x v="1"/>
    <n v="1000287"/>
    <s v="SERV FRETE CAMINHAO PRANCHA AGRIC"/>
    <s v="FRETE BOA VISTA II PARA MACEDONIA"/>
    <n v="4048"/>
    <x v="7"/>
    <s v="0478"/>
    <n v="371065"/>
    <n v="10787837"/>
    <n v="250"/>
    <s v="KM"/>
    <n v="12.28"/>
    <n v="3070"/>
  </r>
  <r>
    <n v="177"/>
    <x v="50"/>
    <x v="5"/>
    <x v="2"/>
    <x v="4"/>
    <x v="1"/>
    <n v="1000238"/>
    <s v="SERV DESP PEDAGIO"/>
    <s v="PEDAGIO FRETE BOA VISTA II PARA MACEDONIA"/>
    <n v="4048"/>
    <x v="25"/>
    <n v="7901"/>
    <n v="371065"/>
    <n v="10787837"/>
    <n v="1"/>
    <s v="UA"/>
    <n v="125.86"/>
    <n v="125.86"/>
  </r>
  <r>
    <n v="178"/>
    <x v="50"/>
    <x v="5"/>
    <x v="0"/>
    <x v="4"/>
    <x v="1"/>
    <n v="1000287"/>
    <s v="SERV FRETE CAMINHAO PRANCHA AGRIC"/>
    <s v="FRETE BOA VISTA II PARA MACEDONIA"/>
    <n v="4048"/>
    <x v="7"/>
    <s v="0478"/>
    <n v="371065"/>
    <n v="10787837"/>
    <n v="250"/>
    <s v="KM"/>
    <n v="12.28"/>
    <n v="3070"/>
  </r>
  <r>
    <n v="179"/>
    <x v="50"/>
    <x v="5"/>
    <x v="2"/>
    <x v="4"/>
    <x v="1"/>
    <n v="1000238"/>
    <s v="SERV DESP PEDAGIO"/>
    <s v="PEDAGIO FRETE BOA VISTA II PARA MACEDONIA"/>
    <n v="4048"/>
    <x v="25"/>
    <n v="7901"/>
    <n v="371065"/>
    <n v="10787837"/>
    <n v="1"/>
    <s v="UA"/>
    <n v="98.4"/>
    <n v="98.4"/>
  </r>
  <r>
    <n v="180"/>
    <x v="50"/>
    <x v="5"/>
    <x v="0"/>
    <x v="4"/>
    <x v="1"/>
    <n v="1000287"/>
    <s v="SERV FRETE CAMINHAO PRANCHA AGRIC"/>
    <s v="FRETE BOA VISTA II PARA MACEDONIA"/>
    <n v="4048"/>
    <x v="7"/>
    <s v="0478"/>
    <n v="371065"/>
    <n v="10787837"/>
    <n v="125"/>
    <s v="KM"/>
    <n v="12.28"/>
    <n v="1535"/>
  </r>
  <r>
    <n v="181"/>
    <x v="50"/>
    <x v="5"/>
    <x v="2"/>
    <x v="4"/>
    <x v="1"/>
    <n v="1000238"/>
    <s v="SERV DESP PEDAGIO"/>
    <s v="PEDAGIO FRETE BOA VISTA II PARA MACEDONIA"/>
    <n v="4048"/>
    <x v="25"/>
    <n v="7901"/>
    <n v="371065"/>
    <n v="10787837"/>
    <n v="1"/>
    <s v="UA"/>
    <n v="78.459999999999994"/>
    <n v="78.459999999999994"/>
  </r>
  <r>
    <n v="182"/>
    <x v="50"/>
    <x v="5"/>
    <x v="0"/>
    <x v="4"/>
    <x v="1"/>
    <n v="1000287"/>
    <s v="SERV FRETE CAMINHAO PRANCHA AGRIC"/>
    <s v="FRETE BOA VISTA II PARA MACEDONIA"/>
    <n v="4048"/>
    <x v="7"/>
    <s v="0478"/>
    <n v="371065"/>
    <n v="10787837"/>
    <n v="125"/>
    <s v="KM"/>
    <n v="12.28"/>
    <n v="1535"/>
  </r>
  <r>
    <n v="183"/>
    <x v="50"/>
    <x v="5"/>
    <x v="2"/>
    <x v="4"/>
    <x v="1"/>
    <n v="1000238"/>
    <s v="SERV DESP PEDAGIO"/>
    <s v="PEDAGIO FRETE BOA VISTA II PARA MACEDONIA"/>
    <n v="4048"/>
    <x v="25"/>
    <n v="7901"/>
    <n v="371065"/>
    <n v="10787837"/>
    <n v="1"/>
    <s v="UA"/>
    <n v="125.86"/>
    <n v="125.86"/>
  </r>
  <r>
    <n v="184"/>
    <x v="50"/>
    <x v="5"/>
    <x v="0"/>
    <x v="4"/>
    <x v="1"/>
    <n v="1000287"/>
    <s v="SERV FRETE CAMINHAO PRANCHA AGRIC"/>
    <s v="FRETE IPE II PARA FORQUILHA II"/>
    <n v="4002"/>
    <x v="19"/>
    <s v="0090"/>
    <n v="371065"/>
    <n v="10787837"/>
    <n v="125"/>
    <s v="KM"/>
    <n v="12.28"/>
    <n v="1535"/>
  </r>
  <r>
    <n v="186"/>
    <x v="50"/>
    <x v="5"/>
    <x v="0"/>
    <x v="4"/>
    <x v="1"/>
    <n v="1000287"/>
    <s v="SERV FRETE CAMINHAO PRANCHA AGRIC"/>
    <s v="FRETE FORQUILHA II PARA IPE II"/>
    <n v="4002"/>
    <x v="19"/>
    <s v="0271"/>
    <n v="371065"/>
    <n v="10787837"/>
    <n v="125"/>
    <s v="KM"/>
    <n v="12.28"/>
    <n v="1535"/>
  </r>
  <r>
    <n v="188"/>
    <x v="51"/>
    <x v="5"/>
    <x v="0"/>
    <x v="2"/>
    <x v="1"/>
    <n v="1000287"/>
    <s v="SERV FRETE CAMINHAO PRANCHA AGRIC"/>
    <s v="FRETE ESPERANCA PARA OLINDA"/>
    <n v="4043"/>
    <x v="26"/>
    <n v="2035"/>
    <n v="371075"/>
    <n v="10789039"/>
    <n v="454"/>
    <s v="KM"/>
    <n v="12.28"/>
    <n v="5575.12"/>
  </r>
  <r>
    <n v="190"/>
    <x v="52"/>
    <x v="5"/>
    <x v="0"/>
    <x v="5"/>
    <x v="1"/>
    <n v="1000287"/>
    <s v="SERV FRETE CAMINHAO PRANCHA AGRIC"/>
    <s v="FRETE SÃO JOAO V PARA JATOBA II"/>
    <n v="4067"/>
    <x v="6"/>
    <s v="0105"/>
    <n v="371045"/>
    <n v="10789039"/>
    <n v="250"/>
    <s v="KM"/>
    <n v="12.28"/>
    <n v="3070"/>
  </r>
  <r>
    <n v="192"/>
    <x v="53"/>
    <x v="5"/>
    <x v="0"/>
    <x v="2"/>
    <x v="1"/>
    <n v="1000287"/>
    <s v="SERV FRETE CAMINHAO PRANCHA AGRIC"/>
    <s v="FRETE SÃO JOAO V PARA CARRETAO"/>
    <n v="4071"/>
    <x v="16"/>
    <s v="0236"/>
    <n v="371075"/>
    <n v="10789039"/>
    <n v="391.99999999999994"/>
    <s v="KM"/>
    <n v="12.28"/>
    <n v="4813.7599999999993"/>
  </r>
  <r>
    <n v="194"/>
    <x v="53"/>
    <x v="5"/>
    <x v="0"/>
    <x v="4"/>
    <x v="1"/>
    <n v="1000287"/>
    <s v="SERV FRETE CAMINHAO PRANCHA AGRIC"/>
    <s v="FRETE FORQUILHA I PARA JATOBA II"/>
    <n v="4067"/>
    <x v="6"/>
    <s v="0105"/>
    <n v="371065"/>
    <n v="10789039"/>
    <n v="250"/>
    <s v="KM"/>
    <n v="12.28"/>
    <n v="3070"/>
  </r>
  <r>
    <n v="196"/>
    <x v="53"/>
    <x v="5"/>
    <x v="0"/>
    <x v="4"/>
    <x v="1"/>
    <n v="1000287"/>
    <s v="SERV FRETE CAMINHAO PRANCHA AGRIC"/>
    <s v="FRETE FORQUILHA I PARA JATOBA II"/>
    <n v="4067"/>
    <x v="6"/>
    <s v="0105"/>
    <n v="371065"/>
    <n v="10789039"/>
    <n v="250"/>
    <s v="KM"/>
    <n v="12.28"/>
    <n v="3070"/>
  </r>
  <r>
    <n v="212"/>
    <x v="51"/>
    <x v="5"/>
    <x v="2"/>
    <x v="2"/>
    <x v="1"/>
    <n v="1000238"/>
    <s v="SERV DESP PEDAGIO"/>
    <s v="PEDAGIO FRETE ESPERANCA PARA OLINDA"/>
    <s v="-"/>
    <x v="25"/>
    <n v="7901"/>
    <n v="371075"/>
    <n v="10789039"/>
    <n v="1"/>
    <s v="UA"/>
    <n v="404.19"/>
    <n v="404.19"/>
  </r>
  <r>
    <n v="214"/>
    <x v="52"/>
    <x v="5"/>
    <x v="2"/>
    <x v="5"/>
    <x v="1"/>
    <n v="1000238"/>
    <s v="SERV DESP PEDAGIO"/>
    <s v="PEDAGIO FRETE SÃO JOAO V PARA JATOBA II"/>
    <s v="-"/>
    <x v="25"/>
    <n v="7901"/>
    <n v="371045"/>
    <n v="10789039"/>
    <n v="1"/>
    <s v="UA"/>
    <n v="192.4"/>
    <n v="192.4"/>
  </r>
  <r>
    <n v="216"/>
    <x v="53"/>
    <x v="5"/>
    <x v="2"/>
    <x v="2"/>
    <x v="1"/>
    <n v="1000238"/>
    <s v="SERV DESP PEDAGIO"/>
    <s v="PEDAGIO FRETE SÃO JOAO V PARA CARRETAO"/>
    <s v="-"/>
    <x v="25"/>
    <n v="7901"/>
    <n v="371075"/>
    <n v="10789039"/>
    <n v="1"/>
    <s v="UA"/>
    <n v="353.1"/>
    <n v="353.1"/>
  </r>
  <r>
    <n v="218"/>
    <x v="53"/>
    <x v="5"/>
    <x v="2"/>
    <x v="4"/>
    <x v="1"/>
    <n v="1000238"/>
    <s v="SERV DESP PEDAGIO"/>
    <s v="PEDAGIO FRETE FORQUILHA I PARA JATOBA II"/>
    <s v="-"/>
    <x v="25"/>
    <n v="7901"/>
    <n v="371065"/>
    <n v="10789039"/>
    <n v="1"/>
    <s v="UA"/>
    <n v="47.4"/>
    <n v="47.4"/>
  </r>
  <r>
    <n v="220"/>
    <x v="53"/>
    <x v="5"/>
    <x v="2"/>
    <x v="4"/>
    <x v="1"/>
    <n v="1000238"/>
    <s v="SERV DESP PEDAGIO"/>
    <s v="PEDAGIO FRETE FORQUILHA I PARA JATOBA II"/>
    <s v="-"/>
    <x v="25"/>
    <n v="7901"/>
    <n v="371065"/>
    <n v="10789039"/>
    <n v="1"/>
    <s v="UA"/>
    <n v="47.4"/>
    <n v="47.4"/>
  </r>
  <r>
    <n v="236"/>
    <x v="50"/>
    <x v="5"/>
    <x v="0"/>
    <x v="8"/>
    <x v="0"/>
    <n v="1000287"/>
    <s v="SERV FRETE CAMINHAO PRANCHA AGRIC"/>
    <s v="FRETE SANTA MARIA III PARA OFICINA MAQNOVA"/>
    <n v="4063"/>
    <x v="23"/>
    <s v="0219"/>
    <n v="375030"/>
    <n v="10787851"/>
    <n v="217.6"/>
    <s v="KM"/>
    <n v="13.69"/>
    <n v="2978.944"/>
  </r>
  <r>
    <n v="238"/>
    <x v="54"/>
    <x v="5"/>
    <x v="0"/>
    <x v="2"/>
    <x v="0"/>
    <n v="1000287"/>
    <s v="SERV FRETE CAMINHAO PRANCHA AGRIC"/>
    <s v="FRETE SANTA HELENA PARA SAO JOAO V"/>
    <n v="4068"/>
    <x v="24"/>
    <s v="0227"/>
    <n v="371075"/>
    <n v="10787851"/>
    <n v="242.6"/>
    <s v="KM"/>
    <n v="13.69"/>
    <n v="3321.194"/>
  </r>
  <r>
    <n v="240"/>
    <x v="54"/>
    <x v="5"/>
    <x v="0"/>
    <x v="3"/>
    <x v="0"/>
    <n v="1000287"/>
    <s v="SERV FRETE CAMINHAO PRANCHA AGRIC"/>
    <s v="FRETE OFICINA LENCOIS PARA DIVISAO E CARRETAO"/>
    <n v="4071"/>
    <x v="16"/>
    <s v="0236"/>
    <n v="371055"/>
    <n v="10787851"/>
    <n v="285.5"/>
    <s v="KM"/>
    <n v="13.69"/>
    <n v="3908.4949999999999"/>
  </r>
  <r>
    <n v="240"/>
    <x v="54"/>
    <x v="5"/>
    <x v="1"/>
    <x v="3"/>
    <x v="0"/>
    <n v="1000287"/>
    <s v="SERV FRETE CAMINHAO PRANCHA AGRIC"/>
    <s v="FRETE OFICINA LENCOIS PARA DIVISAO E CARRETAO"/>
    <n v="4071"/>
    <x v="16"/>
    <s v="0236"/>
    <n v="371055"/>
    <n v="10787851"/>
    <n v="250"/>
    <s v="KM"/>
    <n v="13.69"/>
    <n v="3422.5"/>
  </r>
  <r>
    <n v="242"/>
    <x v="53"/>
    <x v="5"/>
    <x v="0"/>
    <x v="3"/>
    <x v="0"/>
    <n v="1000287"/>
    <s v="SERV FRETE CAMINHAO PRANCHA AGRIC"/>
    <s v="FRETE DIVISAO PARA CARRETAO E DIVISAO"/>
    <n v="4071"/>
    <x v="16"/>
    <s v="0236"/>
    <n v="371055"/>
    <n v="10787851"/>
    <n v="308.3"/>
    <s v="KM"/>
    <n v="13.69"/>
    <n v="4220.6270000000004"/>
  </r>
  <r>
    <n v="244"/>
    <x v="50"/>
    <x v="5"/>
    <x v="2"/>
    <x v="8"/>
    <x v="0"/>
    <n v="1000238"/>
    <s v="SERV DESP PEDAGIO"/>
    <s v="PEDAGIO FRETE SANTA MARIA III PARA OFICINA MAQNOVA"/>
    <s v="-"/>
    <x v="25"/>
    <n v="7901"/>
    <n v="375030"/>
    <n v="10787851"/>
    <n v="1"/>
    <s v="UA"/>
    <n v="215.6"/>
    <n v="215.6"/>
  </r>
  <r>
    <n v="246"/>
    <x v="54"/>
    <x v="5"/>
    <x v="2"/>
    <x v="2"/>
    <x v="0"/>
    <n v="1000238"/>
    <s v="SERV DESP PEDAGIO"/>
    <s v="PEDAGIO FRETE SANTA HELENA PARA SAO JOAO V"/>
    <s v="-"/>
    <x v="25"/>
    <n v="7901"/>
    <n v="371075"/>
    <n v="10787851"/>
    <n v="1"/>
    <s v="UA"/>
    <n v="211.4"/>
    <n v="211.4"/>
  </r>
  <r>
    <n v="248"/>
    <x v="54"/>
    <x v="5"/>
    <x v="2"/>
    <x v="3"/>
    <x v="0"/>
    <n v="1000238"/>
    <s v="SERV DESP PEDAGIO"/>
    <s v="PEDAGIO FRETE OFICINA LENCOIS PARA DIVISAO E CARRETAO"/>
    <s v="-"/>
    <x v="25"/>
    <n v="7901"/>
    <n v="371055"/>
    <n v="10787851"/>
    <n v="1"/>
    <s v="UA"/>
    <n v="147"/>
    <n v="147"/>
  </r>
  <r>
    <n v="250"/>
    <x v="53"/>
    <x v="5"/>
    <x v="2"/>
    <x v="3"/>
    <x v="0"/>
    <n v="1000238"/>
    <s v="SERV DESP PEDAGIO"/>
    <s v="PEDAGIO FRETE DIVISAO PARA CARRETAO E DIVISAO"/>
    <s v="-"/>
    <x v="25"/>
    <n v="7901"/>
    <n v="371055"/>
    <n v="10787851"/>
    <n v="1"/>
    <s v="UA"/>
    <n v="343"/>
    <n v="343"/>
  </r>
  <r>
    <n v="251"/>
    <x v="53"/>
    <x v="5"/>
    <x v="6"/>
    <x v="2"/>
    <x v="4"/>
    <s v="0000000"/>
    <s v="SERVIÇOS APONTADOS NO SGF"/>
    <s v="APONTAMENTOS REALIZADOS NO SGF POR DIÁRIA DE TRUCK"/>
    <s v="0000"/>
    <x v="27"/>
    <s v="0000"/>
    <n v="371075"/>
    <s v="00000000"/>
    <n v="1"/>
    <s v="UA"/>
    <n v="197143.78"/>
    <n v="197143.78"/>
  </r>
  <r>
    <n v="251"/>
    <x v="55"/>
    <x v="6"/>
    <x v="6"/>
    <x v="2"/>
    <x v="4"/>
    <s v="0000000"/>
    <s v="SERVIÇOS APONTADOS NO SGF"/>
    <s v="APONTAMENTOS REALIZADOS NO SGF POR DIÁRIA DE TRUCK"/>
    <s v="0000"/>
    <x v="27"/>
    <s v="0000"/>
    <n v="371075"/>
    <s v="00000000"/>
    <n v="1"/>
    <s v="UA"/>
    <n v="53367.197999999997"/>
    <n v="53367.197999999997"/>
  </r>
  <r>
    <n v="253"/>
    <x v="56"/>
    <x v="6"/>
    <x v="0"/>
    <x v="5"/>
    <x v="1"/>
    <n v="1000287"/>
    <s v="SERV FRETE CAMINHAO PRANCHA AGRIC"/>
    <s v="FRETE JATOBA II PARA SERRINHA"/>
    <n v="4002"/>
    <x v="19"/>
    <s v="0270"/>
    <n v="371045"/>
    <n v="10789039"/>
    <n v="250"/>
    <s v="KM"/>
    <n v="12.28"/>
    <n v="3070"/>
  </r>
  <r>
    <n v="254"/>
    <x v="56"/>
    <x v="6"/>
    <x v="0"/>
    <x v="5"/>
    <x v="1"/>
    <n v="1000287"/>
    <s v="SERV FRETE CAMINHAO PRANCHA AGRIC"/>
    <s v="FRETE MACEDONIA PARA FLECHA AZUL"/>
    <n v="4106"/>
    <x v="28"/>
    <n v="2081"/>
    <n v="371045"/>
    <n v="10789039"/>
    <n v="373"/>
    <s v="KM"/>
    <n v="12.28"/>
    <n v="4580.4399999999996"/>
  </r>
  <r>
    <n v="255"/>
    <x v="56"/>
    <x v="6"/>
    <x v="2"/>
    <x v="5"/>
    <x v="1"/>
    <n v="1000238"/>
    <s v="SERV DESP PEDAGIO"/>
    <s v="PEDAGIO FRETE JATOBA II PARA SERRINHA"/>
    <s v="-"/>
    <x v="25"/>
    <n v="7901"/>
    <n v="371045"/>
    <n v="10789039"/>
    <n v="1"/>
    <s v="UA"/>
    <n v="47.4"/>
    <n v="47.4"/>
  </r>
  <r>
    <n v="256"/>
    <x v="56"/>
    <x v="6"/>
    <x v="2"/>
    <x v="5"/>
    <x v="1"/>
    <n v="1000238"/>
    <s v="SERV DESP PEDAGIO"/>
    <s v="PEDAGIO FRETE MACEDONIA PARA FLECHA AZUL"/>
    <s v="-"/>
    <x v="25"/>
    <n v="7901"/>
    <n v="371045"/>
    <n v="10789039"/>
    <n v="1"/>
    <s v="UA"/>
    <n v="358.59"/>
    <n v="358.59"/>
  </r>
  <r>
    <n v="257"/>
    <x v="57"/>
    <x v="6"/>
    <x v="0"/>
    <x v="4"/>
    <x v="1"/>
    <n v="1000287"/>
    <s v="SERV FRETE CAMINHAO PRANCHA AGRIC"/>
    <s v="FRETE JATOBA II PARA SERRINHA"/>
    <n v="4002"/>
    <x v="19"/>
    <s v="0270"/>
    <n v="371065"/>
    <n v="10789039"/>
    <n v="250"/>
    <s v="KM"/>
    <n v="12.28"/>
    <n v="3070"/>
  </r>
  <r>
    <n v="258"/>
    <x v="57"/>
    <x v="6"/>
    <x v="0"/>
    <x v="4"/>
    <x v="1"/>
    <n v="1000287"/>
    <s v="SERV FRETE CAMINHAO PRANCHA AGRIC"/>
    <s v="FRETE JATOBA II PARA SERRINHA"/>
    <n v="4002"/>
    <x v="19"/>
    <s v="0270"/>
    <n v="371065"/>
    <n v="10789039"/>
    <n v="250"/>
    <s v="KM"/>
    <n v="12.28"/>
    <n v="3070"/>
  </r>
  <r>
    <n v="259"/>
    <x v="57"/>
    <x v="6"/>
    <x v="0"/>
    <x v="4"/>
    <x v="1"/>
    <n v="1000287"/>
    <s v="SERV FRETE CAMINHAO PRANCHA AGRIC"/>
    <s v="FRETE JATOBA II PARA SERRINHA"/>
    <n v="4002"/>
    <x v="19"/>
    <s v="0270"/>
    <n v="371065"/>
    <n v="10789039"/>
    <n v="250"/>
    <s v="KM"/>
    <n v="12.28"/>
    <n v="3070"/>
  </r>
  <r>
    <n v="260"/>
    <x v="57"/>
    <x v="6"/>
    <x v="2"/>
    <x v="4"/>
    <x v="1"/>
    <n v="1000238"/>
    <s v="SERV DESP PEDAGIO"/>
    <s v="PEDAGIO FRETE JATOBA II PARA SERRINHA"/>
    <s v="-"/>
    <x v="25"/>
    <n v="7901"/>
    <n v="371065"/>
    <n v="10789039"/>
    <n v="1"/>
    <s v="UA"/>
    <n v="94.8"/>
    <n v="94.8"/>
  </r>
  <r>
    <n v="261"/>
    <x v="57"/>
    <x v="6"/>
    <x v="2"/>
    <x v="4"/>
    <x v="1"/>
    <n v="1000238"/>
    <s v="SERV DESP PEDAGIO"/>
    <s v="PEDAGIO FRETE JATOBA II PARA SERRINHA"/>
    <s v="-"/>
    <x v="25"/>
    <n v="7901"/>
    <n v="371065"/>
    <n v="10789039"/>
    <n v="1"/>
    <s v="UA"/>
    <n v="94.8"/>
    <n v="94.8"/>
  </r>
  <r>
    <n v="262"/>
    <x v="57"/>
    <x v="6"/>
    <x v="2"/>
    <x v="4"/>
    <x v="1"/>
    <n v="1000238"/>
    <s v="SERV DESP PEDAGIO"/>
    <s v="PEDAGIO FRETE JATOBA II PARA SERRINHA"/>
    <s v="-"/>
    <x v="25"/>
    <n v="7901"/>
    <n v="371065"/>
    <n v="10789039"/>
    <n v="1"/>
    <s v="UA"/>
    <n v="71.099999999999994"/>
    <n v="71.099999999999994"/>
  </r>
  <r>
    <n v="263"/>
    <x v="58"/>
    <x v="6"/>
    <x v="0"/>
    <x v="4"/>
    <x v="1"/>
    <n v="1000287"/>
    <s v="SERV FRETE CAMINHAO PRANCHA AGRIC"/>
    <s v="FRETE MACEDONIA PARA FLECHA AZUL"/>
    <n v="4106"/>
    <x v="28"/>
    <n v="2081"/>
    <n v="371065"/>
    <n v="10789039"/>
    <n v="375"/>
    <s v="KM"/>
    <n v="12.28"/>
    <n v="4605"/>
  </r>
  <r>
    <n v="264"/>
    <x v="58"/>
    <x v="6"/>
    <x v="0"/>
    <x v="4"/>
    <x v="1"/>
    <n v="1000287"/>
    <s v="SERV FRETE CAMINHAO PRANCHA AGRIC"/>
    <s v="FRETE MACEDONIA PARA FLECHA AZUL"/>
    <n v="4106"/>
    <x v="28"/>
    <n v="2081"/>
    <n v="371065"/>
    <n v="10789039"/>
    <n v="371"/>
    <s v="KM"/>
    <n v="12.28"/>
    <n v="4555.88"/>
  </r>
  <r>
    <n v="265"/>
    <x v="58"/>
    <x v="6"/>
    <x v="2"/>
    <x v="4"/>
    <x v="1"/>
    <n v="1000238"/>
    <s v="SERV DESP PEDAGIO"/>
    <s v="PEDAGIO FRETE MACEDONIA PARA FLECHA AZUL"/>
    <s v="-"/>
    <x v="25"/>
    <n v="7901"/>
    <n v="371065"/>
    <n v="10789039"/>
    <n v="1"/>
    <s v="UA"/>
    <n v="358.59"/>
    <n v="358.59"/>
  </r>
  <r>
    <n v="266"/>
    <x v="58"/>
    <x v="6"/>
    <x v="2"/>
    <x v="4"/>
    <x v="1"/>
    <n v="1000238"/>
    <s v="SERV DESP PEDAGIO"/>
    <s v="PEDAGIO FRETE MACEDONIA PARA FLECHA AZUL"/>
    <s v="-"/>
    <x v="25"/>
    <n v="7901"/>
    <n v="371065"/>
    <n v="10789039"/>
    <n v="1"/>
    <s v="UA"/>
    <n v="274.02999999999997"/>
    <n v="274.02999999999997"/>
  </r>
  <r>
    <n v="267"/>
    <x v="59"/>
    <x v="1"/>
    <x v="9"/>
    <x v="9"/>
    <x v="6"/>
    <s v="0200111"/>
    <s v="SERV CONFECCAO DE ADESIVOS"/>
    <s v="PAINEL EM ACM BRANCO C/ IMPRESSAO DIGITAL 5 X 1,20 QUADRO METALON"/>
    <s v="-"/>
    <x v="25"/>
    <n v="7901"/>
    <n v="371011"/>
    <n v="10792042"/>
    <n v="1"/>
    <s v="UA"/>
    <n v="1855"/>
    <n v="1855"/>
  </r>
  <r>
    <n v="268"/>
    <x v="56"/>
    <x v="5"/>
    <x v="9"/>
    <x v="5"/>
    <x v="6"/>
    <s v="0200111"/>
    <s v="SERV CONFECCAO DE ADESIVOS"/>
    <s v="ADESIVO MAPA DE RISCO"/>
    <s v="-"/>
    <x v="25"/>
    <n v="7901"/>
    <n v="371045"/>
    <n v="10792042"/>
    <n v="1"/>
    <s v="UA"/>
    <n v="285"/>
    <n v="285"/>
  </r>
  <r>
    <n v="269"/>
    <x v="56"/>
    <x v="5"/>
    <x v="9"/>
    <x v="5"/>
    <x v="6"/>
    <s v="0200111"/>
    <s v="SERV CONFECCAO DE ADESIVOS"/>
    <s v="ACRILICO FOLHA A4 DOBRADOS PARA ARMAZENAR FISPQ E DOCUMENTOS"/>
    <s v="-"/>
    <x v="25"/>
    <n v="7901"/>
    <n v="371045"/>
    <n v="10792042"/>
    <n v="5"/>
    <s v="UA"/>
    <n v="74.8"/>
    <n v="374"/>
  </r>
  <r>
    <n v="270"/>
    <x v="60"/>
    <x v="5"/>
    <x v="9"/>
    <x v="0"/>
    <x v="6"/>
    <s v="0200111"/>
    <s v="SERV CONFECCAO DE ADESIVOS"/>
    <s v="PLACA EM ACM INDICATIVA DE ADVERTENCIA"/>
    <s v="-"/>
    <x v="25"/>
    <n v="7901"/>
    <n v="371094"/>
    <n v="10792042"/>
    <n v="1"/>
    <s v="UA"/>
    <n v="127"/>
    <n v="127"/>
  </r>
  <r>
    <n v="271"/>
    <x v="58"/>
    <x v="5"/>
    <x v="9"/>
    <x v="5"/>
    <x v="6"/>
    <s v="0200111"/>
    <s v="SERV CONFECCAO DE ADESIVOS"/>
    <s v="PLACA EM ACM INDICATIVA DE ADVERTENCIA"/>
    <s v="-"/>
    <x v="25"/>
    <n v="7901"/>
    <n v="371045"/>
    <n v="10792042"/>
    <n v="1"/>
    <s v="UA"/>
    <n v="127"/>
    <n v="127"/>
  </r>
  <r>
    <n v="272"/>
    <x v="58"/>
    <x v="5"/>
    <x v="9"/>
    <x v="5"/>
    <x v="6"/>
    <s v="0200111"/>
    <s v="SERV CONFECCAO DE ADESIVOS"/>
    <s v="PLACA DE SINALIZACAO INDICATIVA"/>
    <s v="-"/>
    <x v="25"/>
    <n v="7901"/>
    <n v="371045"/>
    <n v="10792042"/>
    <n v="1"/>
    <s v="UA"/>
    <n v="68.459999999999994"/>
    <n v="68.459999999999994"/>
  </r>
  <r>
    <n v="273"/>
    <x v="58"/>
    <x v="5"/>
    <x v="9"/>
    <x v="5"/>
    <x v="6"/>
    <s v="0200111"/>
    <s v="SERV CONFECCAO DE ADESIVOS"/>
    <s v="PLACA EM ACM INDICATIVA DE ADVERTENCIA"/>
    <s v="-"/>
    <x v="25"/>
    <n v="7901"/>
    <n v="371045"/>
    <n v="10792042"/>
    <n v="1"/>
    <s v="UA"/>
    <n v="127"/>
    <n v="127"/>
  </r>
  <r>
    <n v="274"/>
    <x v="58"/>
    <x v="5"/>
    <x v="9"/>
    <x v="5"/>
    <x v="6"/>
    <s v="0200111"/>
    <s v="SERV CONFECCAO DE ADESIVOS"/>
    <s v="CAIXA PARA RESIDUOS"/>
    <s v="-"/>
    <x v="25"/>
    <n v="7901"/>
    <n v="371045"/>
    <n v="10792042"/>
    <n v="1"/>
    <s v="UA"/>
    <n v="238"/>
    <n v="238"/>
  </r>
  <r>
    <n v="275"/>
    <x v="58"/>
    <x v="5"/>
    <x v="9"/>
    <x v="5"/>
    <x v="6"/>
    <s v="0200111"/>
    <s v="SERV CONFECCAO DE ADESIVOS"/>
    <s v="ACRILICO FOLHA A4 DOBRADOS PARA ARMAZENAR FISPQ E DOCUMENTOS"/>
    <s v="-"/>
    <x v="25"/>
    <n v="7901"/>
    <n v="371045"/>
    <n v="10792042"/>
    <n v="3"/>
    <s v="UA"/>
    <n v="74.8"/>
    <n v="224.39999999999998"/>
  </r>
  <r>
    <n v="276"/>
    <x v="58"/>
    <x v="5"/>
    <x v="9"/>
    <x v="5"/>
    <x v="6"/>
    <s v="0200111"/>
    <s v="SERV CONFECCAO DE ADESIVOS"/>
    <s v="ADESIVO ABELHA"/>
    <s v="-"/>
    <x v="25"/>
    <n v="7901"/>
    <n v="371045"/>
    <n v="10792042"/>
    <n v="1"/>
    <s v="UA"/>
    <n v="30"/>
    <n v="30"/>
  </r>
  <r>
    <n v="277"/>
    <x v="58"/>
    <x v="5"/>
    <x v="9"/>
    <x v="5"/>
    <x v="6"/>
    <s v="0200111"/>
    <s v="SERV CONFECCAO DE ADESIVOS"/>
    <s v="ADESIVO EM IMPRESSAO"/>
    <s v="-"/>
    <x v="25"/>
    <n v="7901"/>
    <n v="371045"/>
    <n v="10792042"/>
    <n v="1"/>
    <s v="UA"/>
    <n v="9"/>
    <n v="9"/>
  </r>
  <r>
    <n v="278"/>
    <x v="58"/>
    <x v="5"/>
    <x v="9"/>
    <x v="5"/>
    <x v="6"/>
    <s v="0200111"/>
    <s v="SERV CONFECCAO DE ADESIVOS"/>
    <s v="ADESIVO EM IMPRESSAO"/>
    <s v="-"/>
    <x v="25"/>
    <n v="7901"/>
    <n v="371045"/>
    <n v="10792042"/>
    <n v="1"/>
    <s v="UA"/>
    <n v="9"/>
    <n v="9"/>
  </r>
  <r>
    <n v="279"/>
    <x v="58"/>
    <x v="5"/>
    <x v="9"/>
    <x v="5"/>
    <x v="6"/>
    <s v="0200111"/>
    <s v="SERV CONFECCAO DE ADESIVOS"/>
    <s v="ADESIVO C/ IMPRESSAO DIGITAL E RECORTE KIT PRIMEIROS SOCORROS"/>
    <s v="-"/>
    <x v="25"/>
    <n v="7901"/>
    <n v="371045"/>
    <n v="10792042"/>
    <n v="1"/>
    <s v="UA"/>
    <n v="30"/>
    <n v="30"/>
  </r>
  <r>
    <n v="280"/>
    <x v="58"/>
    <x v="5"/>
    <x v="9"/>
    <x v="5"/>
    <x v="6"/>
    <s v="0200111"/>
    <s v="SERV CONFECCAO DE ADESIVOS"/>
    <s v="ADESIVA EM RECORTE POLIMERICO"/>
    <s v="-"/>
    <x v="25"/>
    <n v="7901"/>
    <n v="371045"/>
    <n v="10792042"/>
    <n v="1"/>
    <s v="UA"/>
    <n v="38"/>
    <n v="38"/>
  </r>
  <r>
    <n v="281"/>
    <x v="58"/>
    <x v="5"/>
    <x v="9"/>
    <x v="5"/>
    <x v="6"/>
    <s v="0200111"/>
    <s v="SERV CONFECCAO DE ADESIVOS"/>
    <s v="ADESIVOS PARA PAINEIS ELETRICOS"/>
    <s v="-"/>
    <x v="25"/>
    <n v="7901"/>
    <n v="371045"/>
    <n v="10792042"/>
    <n v="2"/>
    <s v="UA"/>
    <n v="15"/>
    <n v="30"/>
  </r>
  <r>
    <n v="282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283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1"/>
    <s v="UA"/>
    <n v="5"/>
    <n v="5"/>
  </r>
  <r>
    <n v="284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4"/>
    <s v="UA"/>
    <n v="5"/>
    <n v="20"/>
  </r>
  <r>
    <n v="285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286"/>
    <x v="61"/>
    <x v="5"/>
    <x v="9"/>
    <x v="0"/>
    <x v="6"/>
    <s v="0200111"/>
    <s v="SERV CONFECCAO DE ADESIVOS"/>
    <s v="ADESIVO IMPRESSAO DIGITAL RECORTE DE CONTORNO"/>
    <s v="-"/>
    <x v="25"/>
    <n v="7901"/>
    <n v="371094"/>
    <n v="10792042"/>
    <n v="4"/>
    <s v="UA"/>
    <n v="8.5"/>
    <n v="34"/>
  </r>
  <r>
    <n v="287"/>
    <x v="61"/>
    <x v="5"/>
    <x v="9"/>
    <x v="0"/>
    <x v="6"/>
    <s v="0200111"/>
    <s v="SERV CONFECCAO DE ADESIVOS"/>
    <s v="ADESIVO IMPRESSAO DIGITAL RECORTE DE CONTORNO"/>
    <s v="-"/>
    <x v="25"/>
    <n v="7901"/>
    <n v="371094"/>
    <n v="10792042"/>
    <n v="4"/>
    <s v="UA"/>
    <n v="8.5"/>
    <n v="34"/>
  </r>
  <r>
    <n v="288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3"/>
    <s v="UA"/>
    <n v="5"/>
    <n v="15"/>
  </r>
  <r>
    <n v="289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4"/>
    <s v="UA"/>
    <n v="5"/>
    <n v="20"/>
  </r>
  <r>
    <n v="290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4"/>
    <s v="UA"/>
    <n v="5"/>
    <n v="20"/>
  </r>
  <r>
    <n v="291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4"/>
    <s v="UA"/>
    <n v="5"/>
    <n v="20"/>
  </r>
  <r>
    <n v="292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1"/>
    <s v="UA"/>
    <n v="5"/>
    <n v="5"/>
  </r>
  <r>
    <n v="293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294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295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296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6"/>
    <s v="UA"/>
    <n v="5"/>
    <n v="30"/>
  </r>
  <r>
    <n v="297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298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299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1"/>
    <s v="UA"/>
    <n v="5"/>
    <n v="5"/>
  </r>
  <r>
    <n v="300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1"/>
    <s v="UA"/>
    <n v="5"/>
    <n v="5"/>
  </r>
  <r>
    <n v="301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302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303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2"/>
    <s v="UA"/>
    <n v="5"/>
    <n v="10"/>
  </r>
  <r>
    <n v="304"/>
    <x v="61"/>
    <x v="5"/>
    <x v="9"/>
    <x v="0"/>
    <x v="6"/>
    <s v="0200111"/>
    <s v="SERV CONFECCAO DE ADESIVOS"/>
    <s v="ADESIVO IMPRESSAO DIGITAL"/>
    <s v="-"/>
    <x v="25"/>
    <n v="7901"/>
    <n v="371094"/>
    <n v="10792042"/>
    <n v="1"/>
    <s v="UA"/>
    <n v="5"/>
    <n v="5"/>
  </r>
  <r>
    <n v="305"/>
    <x v="61"/>
    <x v="5"/>
    <x v="9"/>
    <x v="0"/>
    <x v="6"/>
    <s v="0200111"/>
    <s v="SERV CONFECCAO DE ADESIVOS"/>
    <s v="ADESIVO DE IDENTIFICACAO"/>
    <s v="-"/>
    <x v="25"/>
    <n v="7901"/>
    <n v="371094"/>
    <n v="10792042"/>
    <n v="2"/>
    <s v="UA"/>
    <n v="15"/>
    <n v="30"/>
  </r>
  <r>
    <n v="306"/>
    <x v="61"/>
    <x v="5"/>
    <x v="9"/>
    <x v="0"/>
    <x v="6"/>
    <s v="0200111"/>
    <s v="SERV CONFECCAO DE ADESIVOS"/>
    <s v="ADESIVO DE EXTINTORES"/>
    <s v="-"/>
    <x v="25"/>
    <n v="7901"/>
    <n v="371094"/>
    <n v="10792042"/>
    <n v="6"/>
    <s v="UA"/>
    <n v="14.9"/>
    <n v="89.4"/>
  </r>
  <r>
    <n v="307"/>
    <x v="61"/>
    <x v="5"/>
    <x v="9"/>
    <x v="0"/>
    <x v="6"/>
    <s v="0200111"/>
    <s v="SERV CONFECCAO DE ADESIVOS"/>
    <s v="PLACA DE SINALIZACAO INDICATIVA"/>
    <s v="-"/>
    <x v="25"/>
    <n v="7901"/>
    <n v="371094"/>
    <n v="10792042"/>
    <n v="2"/>
    <s v="UA"/>
    <n v="68.459999999999994"/>
    <n v="136.91999999999999"/>
  </r>
  <r>
    <n v="308"/>
    <x v="61"/>
    <x v="5"/>
    <x v="9"/>
    <x v="0"/>
    <x v="6"/>
    <s v="0200111"/>
    <s v="SERV CONFECCAO DE ADESIVOS"/>
    <s v="ADESIVO EM IMPRESSAO"/>
    <s v="-"/>
    <x v="25"/>
    <n v="7901"/>
    <n v="371094"/>
    <n v="10792042"/>
    <n v="6"/>
    <s v="UA"/>
    <n v="27"/>
    <n v="162"/>
  </r>
  <r>
    <n v="309"/>
    <x v="61"/>
    <x v="5"/>
    <x v="9"/>
    <x v="0"/>
    <x v="6"/>
    <s v="0200111"/>
    <s v="SERV CONFECCAO DE ADESIVOS"/>
    <s v="ADESIVO EM IMPRESSAO"/>
    <s v="-"/>
    <x v="25"/>
    <n v="7901"/>
    <n v="371094"/>
    <n v="10792042"/>
    <n v="6"/>
    <s v="UA"/>
    <n v="13.5"/>
    <n v="81"/>
  </r>
  <r>
    <n v="310"/>
    <x v="61"/>
    <x v="5"/>
    <x v="9"/>
    <x v="0"/>
    <x v="6"/>
    <s v="0200111"/>
    <s v="SERV CONFECCAO DE ADESIVOS"/>
    <s v="ADESIVO EM IMPRESSAO"/>
    <s v="-"/>
    <x v="25"/>
    <n v="7901"/>
    <n v="371094"/>
    <n v="10792042"/>
    <n v="6"/>
    <s v="UA"/>
    <n v="3"/>
    <n v="18"/>
  </r>
  <r>
    <n v="311"/>
    <x v="61"/>
    <x v="5"/>
    <x v="9"/>
    <x v="0"/>
    <x v="6"/>
    <s v="0200111"/>
    <s v="SERV CONFECCAO DE ADESIVOS"/>
    <s v="ADESIVO EM IMPRESSAO"/>
    <s v="-"/>
    <x v="25"/>
    <n v="7901"/>
    <n v="371094"/>
    <n v="10792042"/>
    <n v="4"/>
    <s v="UA"/>
    <n v="18.75"/>
    <n v="75"/>
  </r>
  <r>
    <n v="312"/>
    <x v="61"/>
    <x v="5"/>
    <x v="9"/>
    <x v="0"/>
    <x v="6"/>
    <s v="0200111"/>
    <s v="SERV CONFECCAO DE ADESIVOS"/>
    <s v="ADESIVO EM IMPRESSAO"/>
    <s v="-"/>
    <x v="25"/>
    <n v="7901"/>
    <n v="371094"/>
    <n v="10792042"/>
    <n v="2"/>
    <s v="UA"/>
    <n v="9"/>
    <n v="18"/>
  </r>
  <r>
    <n v="313"/>
    <x v="61"/>
    <x v="5"/>
    <x v="9"/>
    <x v="0"/>
    <x v="6"/>
    <s v="0200111"/>
    <s v="SERV CONFECCAO DE ADESIVOS"/>
    <s v="ADESIVO EM IMPRESSAO"/>
    <s v="-"/>
    <x v="25"/>
    <n v="7901"/>
    <n v="371094"/>
    <n v="10792042"/>
    <n v="6"/>
    <s v="UA"/>
    <n v="30"/>
    <n v="180"/>
  </r>
  <r>
    <n v="314"/>
    <x v="61"/>
    <x v="5"/>
    <x v="9"/>
    <x v="0"/>
    <x v="6"/>
    <s v="0200111"/>
    <s v="SERV CONFECCAO DE ADESIVOS"/>
    <s v="CAIXA PARA RESIDUOS"/>
    <s v="-"/>
    <x v="25"/>
    <n v="7901"/>
    <n v="371094"/>
    <n v="10792042"/>
    <n v="1"/>
    <s v="UA"/>
    <n v="325"/>
    <n v="325"/>
  </r>
  <r>
    <n v="315"/>
    <x v="61"/>
    <x v="5"/>
    <x v="9"/>
    <x v="0"/>
    <x v="6"/>
    <s v="0200111"/>
    <s v="SERV CONFECCAO DE ADESIVOS"/>
    <s v="PLACA DE SINALIZACAO INDICATIVA"/>
    <s v="-"/>
    <x v="25"/>
    <n v="7901"/>
    <n v="371094"/>
    <n v="10792042"/>
    <n v="2"/>
    <s v="UA"/>
    <n v="278"/>
    <n v="556"/>
  </r>
  <r>
    <n v="316"/>
    <x v="61"/>
    <x v="5"/>
    <x v="9"/>
    <x v="0"/>
    <x v="6"/>
    <s v="0200111"/>
    <s v="SERV CONFECCAO DE ADESIVOS"/>
    <s v="PLACA DE SINALIZACAO INDICATIVA"/>
    <s v="-"/>
    <x v="25"/>
    <n v="7901"/>
    <n v="371094"/>
    <n v="10792042"/>
    <n v="2"/>
    <s v="UA"/>
    <n v="278"/>
    <n v="556"/>
  </r>
  <r>
    <n v="317"/>
    <x v="61"/>
    <x v="5"/>
    <x v="9"/>
    <x v="0"/>
    <x v="6"/>
    <s v="0200111"/>
    <s v="SERV CONFECCAO DE ADESIVOS"/>
    <s v="PLACA EM ACM INDICATIVA DE ADVERTENCIA"/>
    <s v="-"/>
    <x v="25"/>
    <n v="7901"/>
    <n v="371094"/>
    <n v="10792042"/>
    <n v="3"/>
    <s v="UA"/>
    <n v="127"/>
    <n v="381"/>
  </r>
  <r>
    <n v="318"/>
    <x v="62"/>
    <x v="5"/>
    <x v="9"/>
    <x v="0"/>
    <x v="6"/>
    <s v="0200111"/>
    <s v="SERV CONFECCAO DE ADESIVOS"/>
    <s v="CAVALETE INDICATIVO"/>
    <s v="-"/>
    <x v="25"/>
    <n v="7901"/>
    <n v="371094"/>
    <n v="10792042"/>
    <n v="6"/>
    <s v="UA"/>
    <n v="278"/>
    <n v="1668"/>
  </r>
  <r>
    <n v="319"/>
    <x v="62"/>
    <x v="5"/>
    <x v="9"/>
    <x v="0"/>
    <x v="6"/>
    <s v="0200111"/>
    <s v="SERV CONFECCAO DE ADESIVOS"/>
    <s v="CAVALETE INDICATIVO"/>
    <s v="-"/>
    <x v="25"/>
    <n v="7901"/>
    <n v="371094"/>
    <n v="10792042"/>
    <n v="6"/>
    <s v="UA"/>
    <n v="278"/>
    <n v="1668"/>
  </r>
  <r>
    <n v="320"/>
    <x v="62"/>
    <x v="5"/>
    <x v="9"/>
    <x v="0"/>
    <x v="6"/>
    <s v="0200111"/>
    <s v="SERV CONFECCAO DE ADESIVOS"/>
    <s v="ADESIVO C/ IMPRESSAO DIGITAL"/>
    <s v="-"/>
    <x v="25"/>
    <n v="7901"/>
    <n v="371094"/>
    <n v="10792042"/>
    <n v="10"/>
    <s v="UA"/>
    <n v="8.5"/>
    <n v="85"/>
  </r>
  <r>
    <n v="321"/>
    <x v="62"/>
    <x v="5"/>
    <x v="9"/>
    <x v="0"/>
    <x v="6"/>
    <s v="0200111"/>
    <s v="SERV CONFECCAO DE ADESIVOS"/>
    <s v="ADESIVO C/ IMPRESSAO DIGITAL"/>
    <s v="-"/>
    <x v="25"/>
    <n v="7901"/>
    <n v="371094"/>
    <n v="10792042"/>
    <n v="6"/>
    <s v="UA"/>
    <n v="8.5"/>
    <n v="51"/>
  </r>
  <r>
    <n v="322"/>
    <x v="62"/>
    <x v="5"/>
    <x v="9"/>
    <x v="0"/>
    <x v="6"/>
    <s v="0200111"/>
    <s v="SERV CONFECCAO DE ADESIVOS"/>
    <s v="ADESIVO C/ IMPRESSAO DIGITAL"/>
    <s v="-"/>
    <x v="25"/>
    <n v="7901"/>
    <n v="371094"/>
    <n v="10792042"/>
    <n v="10"/>
    <s v="UA"/>
    <n v="15"/>
    <n v="150"/>
  </r>
  <r>
    <n v="323"/>
    <x v="62"/>
    <x v="5"/>
    <x v="9"/>
    <x v="4"/>
    <x v="6"/>
    <s v="0200111"/>
    <s v="SERV CONFECCAO DE ADESIVOS"/>
    <s v="PLACA DE SINALIZACAO ADVERTENCIA"/>
    <s v="-"/>
    <x v="25"/>
    <n v="7901"/>
    <n v="371065"/>
    <n v="10792042"/>
    <n v="1"/>
    <s v="UA"/>
    <n v="127"/>
    <n v="127"/>
  </r>
  <r>
    <n v="324"/>
    <x v="62"/>
    <x v="5"/>
    <x v="9"/>
    <x v="4"/>
    <x v="6"/>
    <s v="0200111"/>
    <s v="SERV CONFECCAO DE ADESIVOS"/>
    <s v="PLACA DE SINALIZACAO ADVERTENCIA"/>
    <s v="-"/>
    <x v="25"/>
    <n v="7901"/>
    <n v="371065"/>
    <n v="10792042"/>
    <n v="2"/>
    <s v="UA"/>
    <n v="278"/>
    <n v="556"/>
  </r>
  <r>
    <n v="325"/>
    <x v="62"/>
    <x v="5"/>
    <x v="9"/>
    <x v="4"/>
    <x v="6"/>
    <s v="0200111"/>
    <s v="SERV CONFECCAO DE ADESIVOS"/>
    <s v="PLACA DE SINALIZACAO ADVERTENCIA"/>
    <s v="-"/>
    <x v="25"/>
    <n v="7901"/>
    <n v="371065"/>
    <n v="10792042"/>
    <n v="2"/>
    <s v="UA"/>
    <n v="278"/>
    <n v="556"/>
  </r>
  <r>
    <n v="326"/>
    <x v="62"/>
    <x v="5"/>
    <x v="9"/>
    <x v="4"/>
    <x v="6"/>
    <s v="0200111"/>
    <s v="SERV CONFECCAO DE ADESIVOS"/>
    <s v="PLACA DE SINALIZACAO ADVERTENCIA"/>
    <s v="-"/>
    <x v="25"/>
    <n v="7901"/>
    <n v="371065"/>
    <n v="10792042"/>
    <n v="2"/>
    <s v="UA"/>
    <n v="127"/>
    <n v="254"/>
  </r>
  <r>
    <n v="327"/>
    <x v="62"/>
    <x v="5"/>
    <x v="9"/>
    <x v="4"/>
    <x v="6"/>
    <s v="0200111"/>
    <s v="SERV CONFECCAO DE ADESIVOS"/>
    <s v="PLACA DE SINALIZACAO ADVERTENCIA"/>
    <s v="-"/>
    <x v="25"/>
    <n v="7901"/>
    <n v="371065"/>
    <n v="10792042"/>
    <n v="2"/>
    <s v="UA"/>
    <n v="278"/>
    <n v="556"/>
  </r>
  <r>
    <n v="328"/>
    <x v="62"/>
    <x v="5"/>
    <x v="9"/>
    <x v="4"/>
    <x v="6"/>
    <s v="0200111"/>
    <s v="SERV CONFECCAO DE ADESIVOS"/>
    <s v="PLACA DE SINALIZACAO ADVERTENCIA"/>
    <s v="-"/>
    <x v="25"/>
    <n v="7901"/>
    <n v="371065"/>
    <n v="10792042"/>
    <n v="2"/>
    <s v="UA"/>
    <n v="127"/>
    <n v="254"/>
  </r>
  <r>
    <n v="329"/>
    <x v="62"/>
    <x v="5"/>
    <x v="9"/>
    <x v="5"/>
    <x v="6"/>
    <s v="0200111"/>
    <s v="SERV CONFECCAO DE ADESIVOS"/>
    <s v="CAIXA PARA RESIDUOS"/>
    <s v="-"/>
    <x v="25"/>
    <n v="7901"/>
    <n v="371045"/>
    <n v="10792042"/>
    <n v="1"/>
    <s v="UA"/>
    <n v="238"/>
    <n v="238"/>
  </r>
  <r>
    <n v="330"/>
    <x v="62"/>
    <x v="5"/>
    <x v="9"/>
    <x v="5"/>
    <x v="6"/>
    <s v="0200111"/>
    <s v="SERV CONFECCAO DE ADESIVOS"/>
    <s v="ACRILICO FOLHA A4 DOBRADOS PARA ARMAZENAR FISPQ E DOCUMENTOS"/>
    <s v="-"/>
    <x v="25"/>
    <n v="7901"/>
    <n v="371045"/>
    <n v="10792042"/>
    <n v="6"/>
    <s v="UA"/>
    <n v="74.8"/>
    <n v="448.79999999999995"/>
  </r>
  <r>
    <n v="331"/>
    <x v="62"/>
    <x v="5"/>
    <x v="9"/>
    <x v="5"/>
    <x v="6"/>
    <s v="0200111"/>
    <s v="SERV CONFECCAO DE ADESIVOS"/>
    <s v="PLACA EM ACM INDICATIVA DE ADVERTENCIA"/>
    <s v="-"/>
    <x v="25"/>
    <n v="7901"/>
    <n v="371045"/>
    <n v="10792042"/>
    <n v="1"/>
    <s v="UA"/>
    <n v="127"/>
    <n v="127"/>
  </r>
  <r>
    <n v="332"/>
    <x v="62"/>
    <x v="5"/>
    <x v="9"/>
    <x v="5"/>
    <x v="6"/>
    <s v="0200111"/>
    <s v="SERV CONFECCAO DE ADESIVOS"/>
    <s v="ADESIVO EM IMPRESSAO DIGITAL"/>
    <s v="-"/>
    <x v="25"/>
    <n v="7901"/>
    <n v="371045"/>
    <n v="10792042"/>
    <n v="15"/>
    <s v="UA"/>
    <n v="9"/>
    <n v="135"/>
  </r>
  <r>
    <n v="333"/>
    <x v="62"/>
    <x v="5"/>
    <x v="9"/>
    <x v="5"/>
    <x v="6"/>
    <s v="0200111"/>
    <s v="SERV CONFECCAO DE ADESIVOS"/>
    <s v="ADESIVO EM IMPRESSAO DIGITAL"/>
    <s v="-"/>
    <x v="25"/>
    <n v="7901"/>
    <n v="371045"/>
    <n v="10792042"/>
    <n v="7"/>
    <s v="UA"/>
    <n v="1.8"/>
    <n v="12.6"/>
  </r>
  <r>
    <n v="334"/>
    <x v="62"/>
    <x v="5"/>
    <x v="9"/>
    <x v="5"/>
    <x v="6"/>
    <s v="0200111"/>
    <s v="SERV CONFECCAO DE ADESIVOS"/>
    <s v="ADESIVO EM IMPRESSAO DIGITAL"/>
    <s v="-"/>
    <x v="25"/>
    <n v="7901"/>
    <n v="371045"/>
    <n v="10792042"/>
    <n v="1"/>
    <s v="UA"/>
    <n v="78"/>
    <n v="78"/>
  </r>
  <r>
    <n v="335"/>
    <x v="63"/>
    <x v="6"/>
    <x v="9"/>
    <x v="4"/>
    <x v="6"/>
    <s v="0200111"/>
    <s v="SERV CONFECCAO DE ADESIVOS"/>
    <s v="ADESIVO EM IMPRESSAO DIGITAL"/>
    <s v="-"/>
    <x v="25"/>
    <n v="7901"/>
    <n v="371065"/>
    <n v="10792042"/>
    <n v="3"/>
    <s v="UA"/>
    <n v="13.5"/>
    <n v="40.5"/>
  </r>
  <r>
    <n v="336"/>
    <x v="63"/>
    <x v="6"/>
    <x v="9"/>
    <x v="4"/>
    <x v="6"/>
    <s v="0200111"/>
    <s v="SERV CONFECCAO DE ADESIVOS"/>
    <s v="CAIXA PARA RESIDUOS"/>
    <s v="-"/>
    <x v="25"/>
    <n v="7901"/>
    <n v="371065"/>
    <n v="10792042"/>
    <n v="1"/>
    <s v="UA"/>
    <n v="325"/>
    <n v="325"/>
  </r>
  <r>
    <n v="337"/>
    <x v="63"/>
    <x v="6"/>
    <x v="9"/>
    <x v="4"/>
    <x v="6"/>
    <s v="0200111"/>
    <s v="SERV CONFECCAO DE ADESIVOS"/>
    <s v="CAIXA PARA RESIDUOS"/>
    <s v="-"/>
    <x v="25"/>
    <n v="7901"/>
    <n v="371065"/>
    <n v="10792042"/>
    <n v="1"/>
    <s v="UA"/>
    <n v="238"/>
    <n v="238"/>
  </r>
  <r>
    <n v="338"/>
    <x v="63"/>
    <x v="6"/>
    <x v="9"/>
    <x v="4"/>
    <x v="6"/>
    <s v="0200111"/>
    <s v="SERV CONFECCAO DE ADESIVOS"/>
    <s v="PLACA DE SINALIZACAO"/>
    <s v="-"/>
    <x v="25"/>
    <n v="7901"/>
    <n v="371065"/>
    <n v="10792042"/>
    <n v="1"/>
    <s v="UA"/>
    <n v="278"/>
    <n v="278"/>
  </r>
  <r>
    <n v="339"/>
    <x v="63"/>
    <x v="6"/>
    <x v="9"/>
    <x v="4"/>
    <x v="6"/>
    <s v="0200111"/>
    <s v="SERV CONFECCAO DE ADESIVOS"/>
    <s v="PLACA DE SINALIZACAO"/>
    <s v="-"/>
    <x v="25"/>
    <n v="7901"/>
    <n v="371065"/>
    <n v="10792042"/>
    <n v="1"/>
    <s v="UA"/>
    <n v="278"/>
    <n v="278"/>
  </r>
  <r>
    <n v="340"/>
    <x v="64"/>
    <x v="6"/>
    <x v="9"/>
    <x v="3"/>
    <x v="6"/>
    <s v="0200111"/>
    <s v="SERV CONFECCAO DE ADESIVOS"/>
    <s v="CAIXA PARA RESIDUOS"/>
    <s v="-"/>
    <x v="25"/>
    <n v="7901"/>
    <n v="371055"/>
    <n v="10792042"/>
    <n v="15"/>
    <s v="UA"/>
    <n v="238"/>
    <n v="3570"/>
  </r>
  <r>
    <n v="341"/>
    <x v="64"/>
    <x v="6"/>
    <x v="9"/>
    <x v="3"/>
    <x v="6"/>
    <s v="0200111"/>
    <s v="SERV CONFECCAO DE ADESIVOS"/>
    <s v="ADESIVO PADRAO BRACELL"/>
    <s v="-"/>
    <x v="25"/>
    <n v="7901"/>
    <n v="371055"/>
    <n v="10792042"/>
    <n v="20"/>
    <s v="UA"/>
    <n v="5"/>
    <n v="100"/>
  </r>
  <r>
    <n v="342"/>
    <x v="65"/>
    <x v="6"/>
    <x v="9"/>
    <x v="2"/>
    <x v="6"/>
    <s v="0200111"/>
    <s v="SERV CONFECCAO DE ADESIVOS"/>
    <s v="ADESIVO DEGRAU TRES PONTOS"/>
    <s v="-"/>
    <x v="25"/>
    <n v="7901"/>
    <n v="371075"/>
    <n v="10792042"/>
    <n v="15"/>
    <s v="UA"/>
    <n v="13.5"/>
    <n v="202.5"/>
  </r>
  <r>
    <n v="343"/>
    <x v="65"/>
    <x v="6"/>
    <x v="9"/>
    <x v="2"/>
    <x v="6"/>
    <s v="0200111"/>
    <s v="SERV CONFECCAO DE ADESIVOS"/>
    <s v="ADESIVO FROTA VINIL"/>
    <s v="-"/>
    <x v="25"/>
    <n v="7901"/>
    <n v="371075"/>
    <n v="10792042"/>
    <n v="2"/>
    <s v="UA"/>
    <n v="14"/>
    <n v="28"/>
  </r>
  <r>
    <n v="344"/>
    <x v="65"/>
    <x v="6"/>
    <x v="9"/>
    <x v="2"/>
    <x v="6"/>
    <s v="0200111"/>
    <s v="SERV CONFECCAO DE ADESIVOS"/>
    <s v="ADESIVO ADEVERTENCIA"/>
    <s v="-"/>
    <x v="25"/>
    <n v="7901"/>
    <n v="371075"/>
    <n v="10792042"/>
    <n v="10"/>
    <s v="UA"/>
    <n v="13.9"/>
    <n v="139"/>
  </r>
  <r>
    <n v="345"/>
    <x v="60"/>
    <x v="6"/>
    <x v="2"/>
    <x v="2"/>
    <x v="1"/>
    <n v="1000238"/>
    <s v="SERV DESP PEDAGIO"/>
    <s v="PEDAGIO FRETE  FAZ. SANTA ROSA II PARA FAZ. SÃO JOÃO V"/>
    <s v="-"/>
    <x v="25"/>
    <n v="7901"/>
    <n v="371075"/>
    <n v="10799376"/>
    <n v="1"/>
    <s v="UA"/>
    <n v="184.8"/>
    <n v="184.8"/>
  </r>
  <r>
    <n v="346"/>
    <x v="60"/>
    <x v="6"/>
    <x v="0"/>
    <x v="2"/>
    <x v="1"/>
    <n v="1000287"/>
    <s v="SERV FRETE CAMINHAO PRANCHA AGRIC"/>
    <s v="FRETE  FAZ. SANTA ROSA II PARA FAZ. SÃO JOÃO V"/>
    <n v="4068"/>
    <x v="24"/>
    <s v="0227"/>
    <n v="371075"/>
    <n v="10799376"/>
    <n v="250"/>
    <s v="KM"/>
    <n v="12.28"/>
    <n v="3070"/>
  </r>
  <r>
    <n v="347"/>
    <x v="66"/>
    <x v="6"/>
    <x v="2"/>
    <x v="5"/>
    <x v="1"/>
    <n v="1000238"/>
    <s v="SERV DESP PEDAGIO"/>
    <s v="PEDAGIO FRETE  FAZ. IPIRANGA III  PARA FAZ. QUERENCIA IV"/>
    <s v="-"/>
    <x v="25"/>
    <n v="7901"/>
    <n v="371045"/>
    <n v="10799376"/>
    <n v="1"/>
    <s v="UA"/>
    <n v="179.2"/>
    <n v="179.2"/>
  </r>
  <r>
    <n v="348"/>
    <x v="66"/>
    <x v="6"/>
    <x v="0"/>
    <x v="5"/>
    <x v="1"/>
    <n v="1000287"/>
    <s v="SERV FRETE CAMINHAO PRANCHA AGRIC"/>
    <s v="FRETE  FAZ. IPIRANGA III  PARA FAZ. QUERENCIA IV"/>
    <n v="4002"/>
    <x v="19"/>
    <s v="2075"/>
    <n v="371045"/>
    <n v="10799376"/>
    <n v="250"/>
    <s v="KM"/>
    <n v="12.28"/>
    <n v="3070"/>
  </r>
  <r>
    <n v="349"/>
    <x v="67"/>
    <x v="6"/>
    <x v="2"/>
    <x v="4"/>
    <x v="1"/>
    <n v="1000238"/>
    <s v="SERV DESP PEDAGIO"/>
    <s v="PEDAGIO FRETE FAZ. FLECHA AZUL PARA FAZ. MACEDONIA"/>
    <s v="-"/>
    <x v="25"/>
    <n v="7901"/>
    <n v="371065"/>
    <n v="10799376"/>
    <n v="1"/>
    <s v="UA"/>
    <n v="358.59"/>
    <n v="358.59"/>
  </r>
  <r>
    <n v="350"/>
    <x v="67"/>
    <x v="6"/>
    <x v="0"/>
    <x v="4"/>
    <x v="1"/>
    <n v="1000287"/>
    <s v="SERV FRETE CAMINHAO PRANCHA AGRIC"/>
    <s v="FRETE FAZ. FLECHA AZUL PARA FAZ. MACEDONIA"/>
    <n v="4048"/>
    <x v="7"/>
    <s v="0478"/>
    <n v="371065"/>
    <n v="10799376"/>
    <n v="374"/>
    <s v="KM"/>
    <n v="12.28"/>
    <n v="4592.7199999999993"/>
  </r>
  <r>
    <n v="351"/>
    <x v="63"/>
    <x v="6"/>
    <x v="2"/>
    <x v="3"/>
    <x v="0"/>
    <n v="1000238"/>
    <s v="SERV DESP PEDAGIO"/>
    <s v="PEDAGIO FRETE FAZ. CARRETAO I X LENÇOIS PTA"/>
    <s v="-"/>
    <x v="25"/>
    <s v="0236"/>
    <n v="371055"/>
    <n v="10798920"/>
    <n v="1"/>
    <s v="UA"/>
    <n v="236.6"/>
    <n v="236.6"/>
  </r>
  <r>
    <n v="352"/>
    <x v="63"/>
    <x v="6"/>
    <x v="0"/>
    <x v="3"/>
    <x v="0"/>
    <n v="1000287"/>
    <s v="SERV FRETE CAMINHAO PRANCHA AGRIC"/>
    <s v="FRETE  FAZ. CARRETAO I X LENÇOIS PTA"/>
    <n v="4071"/>
    <x v="16"/>
    <n v="7901"/>
    <n v="371055"/>
    <n v="10798920"/>
    <n v="222.7"/>
    <s v="KM"/>
    <n v="13.69"/>
    <n v="3048.7629999999999"/>
  </r>
  <r>
    <n v="353"/>
    <x v="68"/>
    <x v="5"/>
    <x v="2"/>
    <x v="3"/>
    <x v="0"/>
    <n v="1000238"/>
    <s v="SERV DESP PEDAGIO"/>
    <s v="PEDAGIO FRETE FAZ. ALVORADA X FAZ. CARRETÃO"/>
    <s v="-"/>
    <x v="25"/>
    <s v="0236"/>
    <n v="371055"/>
    <n v="10798920"/>
    <n v="1"/>
    <s v="UA"/>
    <n v="997"/>
    <n v="997"/>
  </r>
  <r>
    <n v="354"/>
    <x v="68"/>
    <x v="5"/>
    <x v="0"/>
    <x v="3"/>
    <x v="0"/>
    <n v="1000287"/>
    <s v="SERV FRETE CAMINHAO PRANCHA AGRIC"/>
    <s v="FRETE  FAZ. ALVORADA X FAZ. CARRETÃO"/>
    <n v="4071"/>
    <x v="16"/>
    <n v="7901"/>
    <n v="371055"/>
    <n v="10798920"/>
    <n v="697"/>
    <s v="KM"/>
    <n v="13.69"/>
    <n v="9541.93"/>
  </r>
  <r>
    <n v="355"/>
    <x v="69"/>
    <x v="7"/>
    <x v="2"/>
    <x v="2"/>
    <x v="1"/>
    <n v="1000238"/>
    <s v="SERV DESP PEDAGIO"/>
    <s v="PEDAGIO FRETE  FAZ. SANTA HELENA  PARA FAZ. SANTA ELISA"/>
    <m/>
    <x v="25"/>
    <n v="7901"/>
    <n v="371075"/>
    <m/>
    <n v="1"/>
    <s v="UA"/>
    <n v="61.6"/>
    <n v="61.6"/>
  </r>
  <r>
    <n v="356"/>
    <x v="69"/>
    <x v="7"/>
    <x v="0"/>
    <x v="2"/>
    <x v="1"/>
    <n v="1000287"/>
    <s v="SERV FRETE CAMINHAO PRANCHA AGRIC"/>
    <s v="FRETE  FAZ. SANTA HELENA  PARA FAZ. SANTA ELISA"/>
    <n v="4016"/>
    <x v="5"/>
    <m/>
    <n v="371075"/>
    <m/>
    <n v="110"/>
    <s v="KM"/>
    <n v="12.28"/>
    <n v="1350.8"/>
  </r>
  <r>
    <n v="357"/>
    <x v="69"/>
    <x v="7"/>
    <x v="2"/>
    <x v="2"/>
    <x v="1"/>
    <n v="1000238"/>
    <s v="SERV DESP PEDAGIO"/>
    <s v="PEDAGIO FRETE  FAZ. BOA VISTA III  PARA  FAZ. FLECHA AZUL"/>
    <m/>
    <x v="25"/>
    <n v="7901"/>
    <n v="371075"/>
    <m/>
    <n v="1"/>
    <s v="UA"/>
    <n v="307.04000000000002"/>
    <n v="307.04000000000002"/>
  </r>
  <r>
    <n v="358"/>
    <x v="69"/>
    <x v="7"/>
    <x v="0"/>
    <x v="2"/>
    <x v="1"/>
    <n v="1000287"/>
    <s v="SERV FRETE CAMINHAO PRANCHA AGRIC"/>
    <s v="FRETE  FAZ. BOA VISTA III   PARA  FAZ. FLECHA AZUL"/>
    <n v="4106"/>
    <x v="28"/>
    <m/>
    <n v="371075"/>
    <m/>
    <n v="430"/>
    <s v="KM"/>
    <n v="12.28"/>
    <n v="5280.4"/>
  </r>
  <r>
    <n v="359"/>
    <x v="70"/>
    <x v="7"/>
    <x v="2"/>
    <x v="2"/>
    <x v="1"/>
    <n v="1000238"/>
    <s v="SERV DESP PEDAGIO"/>
    <s v="PEDAGIO FRETE  FAZ. FLECHA AZUL  PARA  FAZ. BOA VISTA III"/>
    <m/>
    <x v="25"/>
    <n v="7901"/>
    <n v="371075"/>
    <m/>
    <n v="1"/>
    <s v="UA"/>
    <n v="496.58"/>
    <n v="496.58"/>
  </r>
  <r>
    <n v="360"/>
    <x v="70"/>
    <x v="7"/>
    <x v="0"/>
    <x v="2"/>
    <x v="1"/>
    <n v="1000287"/>
    <s v="SERV FRETE CAMINHAO PRANCHA AGRIC"/>
    <s v="FRETE  FAZ. FLECHA AZUL PARA FAZ. BOA VISTA III"/>
    <n v="4023"/>
    <x v="29"/>
    <m/>
    <n v="371075"/>
    <m/>
    <n v="495"/>
    <s v="KM"/>
    <n v="12.28"/>
    <n v="6078.5999999999995"/>
  </r>
  <r>
    <n v="361"/>
    <x v="70"/>
    <x v="7"/>
    <x v="2"/>
    <x v="2"/>
    <x v="1"/>
    <n v="1000238"/>
    <s v="SERV DESP PEDAGIO"/>
    <s v="PEDAGIO FRETE  FAZ. SANTA ELISA  PARA FAZ. SANTA RITA III"/>
    <m/>
    <x v="25"/>
    <n v="7901"/>
    <n v="371075"/>
    <m/>
    <n v="1"/>
    <s v="UA"/>
    <n v="114.85"/>
    <n v="114.85"/>
  </r>
  <r>
    <n v="362"/>
    <x v="70"/>
    <x v="7"/>
    <x v="0"/>
    <x v="2"/>
    <x v="1"/>
    <n v="1000287"/>
    <s v="SERV FRETE CAMINHAO PRANCHA AGRIC"/>
    <s v="FRETE  FAZ. SANTA ELISA  PARA FAZ. SANTA RITA III"/>
    <n v="4032"/>
    <x v="30"/>
    <m/>
    <n v="371075"/>
    <m/>
    <n v="285"/>
    <s v="KM"/>
    <n v="12.28"/>
    <n v="3499.7999999999997"/>
  </r>
  <r>
    <n v="363"/>
    <x v="71"/>
    <x v="7"/>
    <x v="2"/>
    <x v="2"/>
    <x v="1"/>
    <n v="1000238"/>
    <s v="SERV DESP PEDAGIO"/>
    <s v="PEDAGIO FRETE  FAZ. SANTA ELISA  PARA FAZ. SANTA RITA III"/>
    <m/>
    <x v="25"/>
    <n v="7901"/>
    <n v="371075"/>
    <m/>
    <n v="1"/>
    <s v="UA"/>
    <n v="166.91"/>
    <n v="166.91"/>
  </r>
  <r>
    <n v="364"/>
    <x v="71"/>
    <x v="7"/>
    <x v="0"/>
    <x v="2"/>
    <x v="1"/>
    <n v="1000287"/>
    <s v="SERV FRETE CAMINHAO PRANCHA AGRIC"/>
    <s v="FRETE  FAZ. SANTA ELISA  PARA FAZ. SANTA RITA III"/>
    <n v="4032"/>
    <x v="30"/>
    <m/>
    <n v="371075"/>
    <m/>
    <n v="283"/>
    <s v="KM"/>
    <n v="12.28"/>
    <n v="3475.24"/>
  </r>
  <r>
    <n v="365"/>
    <x v="72"/>
    <x v="7"/>
    <x v="2"/>
    <x v="4"/>
    <x v="1"/>
    <n v="1000238"/>
    <s v="SERV DESP PEDAGIO"/>
    <s v="PEDAGIO FRETE FAZ. FLECHA AZUL PARA FAZ. MACEDONIA "/>
    <m/>
    <x v="25"/>
    <n v="7901"/>
    <n v="371065"/>
    <m/>
    <n v="1"/>
    <s v="UA"/>
    <n v="358.59"/>
    <n v="358.59"/>
  </r>
  <r>
    <n v="366"/>
    <x v="72"/>
    <x v="7"/>
    <x v="0"/>
    <x v="4"/>
    <x v="1"/>
    <n v="1000287"/>
    <s v="SERV FRETE CAMINHAO PRANCHA AGRIC"/>
    <s v="FRETE  FAZ. FLECHA AZUL PARA FAZ. MACEDONIA"/>
    <n v="4048"/>
    <x v="7"/>
    <m/>
    <n v="371065"/>
    <m/>
    <n v="374"/>
    <s v="KM"/>
    <n v="12.28"/>
    <n v="4592.7199999999993"/>
  </r>
  <r>
    <n v="367"/>
    <x v="72"/>
    <x v="7"/>
    <x v="2"/>
    <x v="4"/>
    <x v="1"/>
    <n v="1000238"/>
    <s v="SERV DESP PEDAGIO"/>
    <s v="PEDAGIO FRETE FAZ. FLECHA AZUL PARA FAZ. MACEDONIA "/>
    <m/>
    <x v="25"/>
    <n v="7901"/>
    <n v="371065"/>
    <m/>
    <n v="1"/>
    <s v="UA"/>
    <n v="358.59"/>
    <n v="358.59"/>
  </r>
  <r>
    <n v="368"/>
    <x v="72"/>
    <x v="7"/>
    <x v="0"/>
    <x v="4"/>
    <x v="1"/>
    <n v="1000287"/>
    <s v="SERV FRETE CAMINHAO PRANCHA AGRIC"/>
    <s v="FRETE  FAZ. FLECHA AZUL PARA FAZ. MACEDONIA"/>
    <n v="4048"/>
    <x v="7"/>
    <m/>
    <n v="371065"/>
    <m/>
    <n v="357"/>
    <s v="KM"/>
    <n v="12.28"/>
    <n v="4383.96"/>
  </r>
  <r>
    <n v="369"/>
    <x v="73"/>
    <x v="7"/>
    <x v="2"/>
    <x v="8"/>
    <x v="1"/>
    <n v="1000238"/>
    <s v="SERV DESP PEDAGIO"/>
    <s v="PEDAGIO FRETE TERRA TRATORES   PARA  FAZ. CACHOEIRA DOS INDIOS"/>
    <m/>
    <x v="25"/>
    <n v="7901"/>
    <n v="371065"/>
    <m/>
    <n v="1"/>
    <s v="UA"/>
    <n v="572.67999999999995"/>
    <n v="572.67999999999995"/>
  </r>
  <r>
    <n v="370"/>
    <x v="73"/>
    <x v="7"/>
    <x v="0"/>
    <x v="8"/>
    <x v="1"/>
    <n v="1000287"/>
    <s v="SERV FRETE CAMINHAO PRANCHA AGRIC"/>
    <s v="FRETE  TERRA TRATORES  PARA  FAZ. CACHOEIRA DOS INDIOS"/>
    <n v="4035"/>
    <x v="31"/>
    <m/>
    <n v="371065"/>
    <m/>
    <n v="537"/>
    <s v="KM"/>
    <n v="12.28"/>
    <n v="6594.36"/>
  </r>
  <r>
    <n v="371"/>
    <x v="74"/>
    <x v="5"/>
    <x v="2"/>
    <x v="2"/>
    <x v="1"/>
    <n v="1000238"/>
    <s v="SERV DESP PEDAGIO"/>
    <s v="PEDAGIO FRETE  FAZ. NOSSA SRA DE GUADALUPE PARA  FAZ. LIBERDADE III"/>
    <m/>
    <x v="25"/>
    <n v="7901"/>
    <n v="371075"/>
    <s v="-"/>
    <n v="1"/>
    <s v="UA"/>
    <n v="188.9"/>
    <n v="188.9"/>
  </r>
  <r>
    <n v="372"/>
    <x v="74"/>
    <x v="5"/>
    <x v="0"/>
    <x v="2"/>
    <x v="1"/>
    <n v="1000287"/>
    <s v="SERV FRETE CAMINHAO PRANCHA AGRIC"/>
    <s v="FRETE  FAZ. NOSSA SRA DE GUADALUPE PARA  FAZ. LIBERDADE III"/>
    <n v="4068"/>
    <x v="24"/>
    <m/>
    <n v="371075"/>
    <s v="-"/>
    <n v="334"/>
    <s v="KM"/>
    <n v="12.28"/>
    <n v="4101.5199999999995"/>
  </r>
  <r>
    <n v="377"/>
    <x v="72"/>
    <x v="7"/>
    <x v="2"/>
    <x v="4"/>
    <x v="0"/>
    <n v="1000238"/>
    <s v="SERV DESP PEDAGIO"/>
    <s v="FRETE  FAZ. BREJO AZUL   X  FAZ. MACEDONIA"/>
    <m/>
    <x v="25"/>
    <n v="7901"/>
    <n v="371065"/>
    <m/>
    <n v="1"/>
    <s v="UA"/>
    <n v="492"/>
    <n v="492"/>
  </r>
  <r>
    <n v="378"/>
    <x v="72"/>
    <x v="7"/>
    <x v="0"/>
    <x v="4"/>
    <x v="0"/>
    <n v="1000287"/>
    <s v="SERV FRETE CAMINHAO PRANCHA AGRIC"/>
    <s v="PEDAGIO FRETE   FAZ. BREJO AZUL X  FAZ. MACEDONIA"/>
    <m/>
    <x v="25"/>
    <n v="7901"/>
    <n v="371065"/>
    <m/>
    <n v="405.4"/>
    <s v="KM"/>
    <n v="13.69"/>
    <n v="5549.9259999999995"/>
  </r>
  <r>
    <n v="379"/>
    <x v="69"/>
    <x v="5"/>
    <x v="2"/>
    <x v="2"/>
    <x v="1"/>
    <n v="1000238"/>
    <s v="SERV DESP PEDAGIO"/>
    <s v="FRETE  FAZ. SANTA HELENA   X  FAZ. SANTA ELISA"/>
    <n v="4016"/>
    <x v="5"/>
    <m/>
    <n v="371075"/>
    <m/>
    <n v="1"/>
    <s v="UA"/>
    <n v="61.6"/>
    <n v="61.6"/>
  </r>
  <r>
    <n v="380"/>
    <x v="69"/>
    <x v="5"/>
    <x v="0"/>
    <x v="2"/>
    <x v="1"/>
    <n v="1000287"/>
    <s v="SERV FRETE CAMINHAO PRANCHA AGRIC"/>
    <s v="PEDAGIO FRETE  FAZ. SANTA HELENA   X   FAZ. SANTA ELISA"/>
    <m/>
    <x v="25"/>
    <n v="7901"/>
    <n v="371075"/>
    <m/>
    <n v="110"/>
    <s v="KM"/>
    <n v="12.28"/>
    <n v="1350.8"/>
  </r>
  <r>
    <n v="381"/>
    <x v="69"/>
    <x v="5"/>
    <x v="2"/>
    <x v="2"/>
    <x v="1"/>
    <n v="1000238"/>
    <s v="SERV DESP PEDAGIO"/>
    <s v="FRETE  FAZ. BOA VISTA III   X  FAZ. FLECHA AZUL"/>
    <n v="4106"/>
    <x v="28"/>
    <m/>
    <n v="371075"/>
    <m/>
    <n v="1"/>
    <s v="UA"/>
    <n v="307.04000000000002"/>
    <n v="307.04000000000002"/>
  </r>
  <r>
    <n v="382"/>
    <x v="69"/>
    <x v="5"/>
    <x v="0"/>
    <x v="2"/>
    <x v="1"/>
    <n v="1000287"/>
    <s v="SERV FRETE CAMINHAO PRANCHA AGRIC"/>
    <s v="PEDAGIO FRETE  FAZ. BOA VISTA III  X  FAZ. FLECHA AZUL"/>
    <m/>
    <x v="25"/>
    <n v="7901"/>
    <n v="371075"/>
    <m/>
    <n v="430"/>
    <s v="KM"/>
    <n v="12.28"/>
    <n v="5280.4"/>
  </r>
  <r>
    <n v="383"/>
    <x v="70"/>
    <x v="5"/>
    <x v="2"/>
    <x v="2"/>
    <x v="1"/>
    <n v="1000238"/>
    <s v="SERV DESP PEDAGIO"/>
    <s v="FRETE FAZ. FLECHA AZUL   X  FAZ. BOA VISTA III"/>
    <n v="4023"/>
    <x v="29"/>
    <m/>
    <n v="371075"/>
    <m/>
    <n v="1"/>
    <s v="UA"/>
    <n v="496.58"/>
    <n v="496.58"/>
  </r>
  <r>
    <n v="384"/>
    <x v="70"/>
    <x v="5"/>
    <x v="0"/>
    <x v="2"/>
    <x v="1"/>
    <n v="1000287"/>
    <s v="SERV FRETE CAMINHAO PRANCHA AGRIC"/>
    <s v="PEDAGIO FRETE  FAZ. FLECHA AZUL   X  FAZ. BOA VISTA III"/>
    <m/>
    <x v="25"/>
    <n v="7901"/>
    <n v="371075"/>
    <m/>
    <n v="495"/>
    <s v="KM"/>
    <n v="12.28"/>
    <n v="6078.5999999999995"/>
  </r>
  <r>
    <n v="385"/>
    <x v="70"/>
    <x v="5"/>
    <x v="2"/>
    <x v="2"/>
    <x v="1"/>
    <n v="1000238"/>
    <s v="SERV DESP PEDAGIO"/>
    <s v="FRETE FAZ. FLECHA AZUL   X  FAZ. BOA VISTA III"/>
    <n v="4023"/>
    <x v="29"/>
    <m/>
    <n v="371075"/>
    <m/>
    <n v="1"/>
    <s v="UA"/>
    <n v="114.85"/>
    <n v="114.85"/>
  </r>
  <r>
    <n v="386"/>
    <x v="70"/>
    <x v="5"/>
    <x v="0"/>
    <x v="2"/>
    <x v="1"/>
    <n v="1000287"/>
    <s v="SERV FRETE CAMINHAO PRANCHA AGRIC"/>
    <s v="PEDAGIO FRETE  FAZ. FLECHA AZUL   X  FAZ. BOA VISTA III"/>
    <m/>
    <x v="25"/>
    <n v="7901"/>
    <n v="371075"/>
    <m/>
    <n v="285"/>
    <s v="KM"/>
    <n v="12.28"/>
    <n v="3499.7999999999997"/>
  </r>
  <r>
    <n v="387"/>
    <x v="70"/>
    <x v="5"/>
    <x v="2"/>
    <x v="2"/>
    <x v="1"/>
    <n v="1000238"/>
    <s v="SERV DESP PEDAGIO"/>
    <s v="FRETE FAZ. FLECHA AZUL   X  FAZ. BOA VISTA III"/>
    <n v="4023"/>
    <x v="29"/>
    <m/>
    <n v="371075"/>
    <m/>
    <n v="1"/>
    <s v="UA"/>
    <n v="166.91"/>
    <n v="166.91"/>
  </r>
  <r>
    <n v="388"/>
    <x v="70"/>
    <x v="5"/>
    <x v="0"/>
    <x v="2"/>
    <x v="1"/>
    <n v="1000287"/>
    <s v="SERV FRETE CAMINHAO PRANCHA AGRIC"/>
    <s v="PEDAGIO FRETE  FAZ. FLECHA AZUL   X  FAZ. BOA VISTA III"/>
    <m/>
    <x v="25"/>
    <n v="7901"/>
    <n v="371075"/>
    <m/>
    <n v="283"/>
    <s v="KM"/>
    <n v="12.28"/>
    <n v="3475.24"/>
  </r>
  <r>
    <n v="389"/>
    <x v="75"/>
    <x v="8"/>
    <x v="2"/>
    <x v="3"/>
    <x v="0"/>
    <n v="1000238"/>
    <s v="SERV DESP PEDAGIO"/>
    <s v="PEDAGIO FRETE  FAZ. SANTA HELENA  X  FAZ. ALVORADA VII"/>
    <m/>
    <x v="25"/>
    <n v="7901"/>
    <n v="371055"/>
    <m/>
    <n v="1"/>
    <s v="UA"/>
    <n v="2259.4"/>
    <n v="2259.4"/>
  </r>
  <r>
    <n v="390"/>
    <x v="75"/>
    <x v="8"/>
    <x v="0"/>
    <x v="3"/>
    <x v="0"/>
    <n v="1000287"/>
    <s v="SERV FRETE CAMINHAO PRANCHA AGRIC"/>
    <s v="FRETE FAZ. SANTA HELENA   X FAZ. ALVORADA VII"/>
    <n v="7045"/>
    <x v="9"/>
    <m/>
    <n v="371055"/>
    <m/>
    <n v="1688.1"/>
    <s v="KM"/>
    <n v="13.69"/>
    <n v="23110.088999999996"/>
  </r>
  <r>
    <n v="391"/>
    <x v="53"/>
    <x v="7"/>
    <x v="6"/>
    <x v="8"/>
    <x v="7"/>
    <s v="0000000"/>
    <s v="SERVIÇOS APONTADOS NO SGF"/>
    <s v="APONTAMENTOS REALIZADOS NO SGF POR DIÁRIA DE TRUCK"/>
    <s v="0000"/>
    <x v="27"/>
    <s v="0000"/>
    <n v="371069"/>
    <s v="00000000"/>
    <n v="1"/>
    <s v="UA"/>
    <n v="53119"/>
    <n v="53119"/>
  </r>
  <r>
    <n v="392"/>
    <x v="76"/>
    <x v="8"/>
    <x v="2"/>
    <x v="0"/>
    <x v="1"/>
    <n v="1000238"/>
    <s v="SERV DESP PEDAGIO"/>
    <s v="PEDAGIO FRETE  FAZ. FAZENDA PRIMAVERA II   X  FAZ. BELA VISTA VII"/>
    <m/>
    <x v="25"/>
    <n v="7901"/>
    <n v="371094"/>
    <m/>
    <n v="1"/>
    <s v="UA"/>
    <n v="761.4"/>
    <n v="761.4"/>
  </r>
  <r>
    <n v="393"/>
    <x v="76"/>
    <x v="8"/>
    <x v="0"/>
    <x v="0"/>
    <x v="1"/>
    <n v="1000287"/>
    <s v="SERV FRETE CAMINHAO PRANCHA AGRIC"/>
    <s v="FRETE  FAZ. FAZENDA PRIMAVERA II   X FAZ. BELA VISTA VII"/>
    <n v="7063"/>
    <x v="32"/>
    <m/>
    <n v="371094"/>
    <m/>
    <n v="1145"/>
    <s v="KM"/>
    <n v="12.28"/>
    <n v="14060.599999999999"/>
  </r>
  <r>
    <n v="394"/>
    <x v="76"/>
    <x v="8"/>
    <x v="7"/>
    <x v="0"/>
    <x v="1"/>
    <s v="0000000"/>
    <s v="SERV DESP SEGURO"/>
    <s v="SEGURO"/>
    <m/>
    <x v="25"/>
    <n v="7901"/>
    <n v="371094"/>
    <m/>
    <n v="1"/>
    <s v="UA"/>
    <n v="525"/>
    <n v="525"/>
  </r>
  <r>
    <n v="395"/>
    <x v="76"/>
    <x v="8"/>
    <x v="2"/>
    <x v="0"/>
    <x v="1"/>
    <n v="1000238"/>
    <s v="SERV DESP PEDAGIO"/>
    <s v="PEDAGIO FRETE  FAZ. FAZENDA PRIMAVERA II   X  FAZ. BELA VISTA VII"/>
    <m/>
    <x v="25"/>
    <n v="7901"/>
    <n v="371094"/>
    <m/>
    <n v="1"/>
    <s v="UA"/>
    <n v="767.4"/>
    <n v="767.4"/>
  </r>
  <r>
    <n v="396"/>
    <x v="76"/>
    <x v="8"/>
    <x v="0"/>
    <x v="0"/>
    <x v="1"/>
    <n v="1000287"/>
    <s v="SERV FRETE CAMINHAO PRANCHA AGRIC"/>
    <s v="FRETE  FAZ. FAZENDA PRIMAVERA II   X FAZ. BELA VISTA VII"/>
    <n v="7063"/>
    <x v="32"/>
    <m/>
    <n v="371094"/>
    <m/>
    <n v="575"/>
    <s v="KM"/>
    <n v="12.28"/>
    <n v="7061"/>
  </r>
  <r>
    <n v="397"/>
    <x v="76"/>
    <x v="8"/>
    <x v="7"/>
    <x v="0"/>
    <x v="1"/>
    <s v="0000000"/>
    <s v="SERV DESP SEGURO"/>
    <s v="SEGURO"/>
    <m/>
    <x v="25"/>
    <n v="7901"/>
    <n v="371094"/>
    <m/>
    <n v="1"/>
    <s v="UA"/>
    <n v="455"/>
    <n v="455"/>
  </r>
  <r>
    <n v="398"/>
    <x v="76"/>
    <x v="8"/>
    <x v="2"/>
    <x v="0"/>
    <x v="1"/>
    <n v="1000238"/>
    <s v="SERV DESP PEDAGIO"/>
    <s v="PEDAGIO FRETE  FAZ. FAZENDA PRIMAVERA II   X  FAZ. BELA VISTA VII"/>
    <m/>
    <x v="25"/>
    <n v="7901"/>
    <n v="371094"/>
    <m/>
    <n v="1"/>
    <s v="UA"/>
    <n v="0"/>
    <n v="0"/>
  </r>
  <r>
    <n v="399"/>
    <x v="76"/>
    <x v="8"/>
    <x v="0"/>
    <x v="0"/>
    <x v="1"/>
    <n v="1000287"/>
    <s v="SERV FRETE CAMINHAO PRANCHA AGRIC"/>
    <s v="FRETE  FAZ. FAZENDA PRIMAVERA II   X FAZ. BELA VISTA VII"/>
    <n v="7063"/>
    <x v="32"/>
    <m/>
    <n v="371094"/>
    <m/>
    <n v="575"/>
    <s v="KM"/>
    <n v="12.28"/>
    <n v="7061"/>
  </r>
  <r>
    <n v="400"/>
    <x v="76"/>
    <x v="8"/>
    <x v="7"/>
    <x v="0"/>
    <x v="1"/>
    <s v="0000000"/>
    <s v="SERV DESP SEGURO"/>
    <s v="SEGURO"/>
    <m/>
    <x v="25"/>
    <n v="7901"/>
    <n v="371094"/>
    <m/>
    <n v="1"/>
    <s v="UA"/>
    <n v="455"/>
    <n v="455"/>
  </r>
  <r>
    <n v="401"/>
    <x v="76"/>
    <x v="8"/>
    <x v="2"/>
    <x v="0"/>
    <x v="1"/>
    <n v="1000238"/>
    <s v="SERV DESP PEDAGIO"/>
    <s v="PEDAGIO FRETE  FAZ. FAZENDA PRIMAVERA II   X  FAZ. BELA VISTA VII"/>
    <m/>
    <x v="25"/>
    <n v="7901"/>
    <n v="371094"/>
    <m/>
    <n v="1"/>
    <s v="UA"/>
    <n v="834.93"/>
    <n v="834.93"/>
  </r>
  <r>
    <n v="402"/>
    <x v="76"/>
    <x v="8"/>
    <x v="0"/>
    <x v="0"/>
    <x v="1"/>
    <n v="1000287"/>
    <s v="SERV FRETE CAMINHAO PRANCHA AGRIC"/>
    <s v="FRETE  FAZ. FAZENDA PRIMAVERA II   X FAZ. BELA VISTA VII"/>
    <n v="7063"/>
    <x v="32"/>
    <m/>
    <n v="371094"/>
    <m/>
    <n v="1161"/>
    <s v="KM"/>
    <n v="12.28"/>
    <n v="14257.08"/>
  </r>
  <r>
    <n v="403"/>
    <x v="76"/>
    <x v="8"/>
    <x v="7"/>
    <x v="0"/>
    <x v="1"/>
    <s v="0000000"/>
    <s v="SERV DESP SEGURO"/>
    <s v="SEGURO"/>
    <m/>
    <x v="25"/>
    <n v="7901"/>
    <n v="371094"/>
    <m/>
    <n v="1"/>
    <s v="UA"/>
    <n v="630"/>
    <n v="630"/>
  </r>
  <r>
    <n v="404"/>
    <x v="77"/>
    <x v="7"/>
    <x v="2"/>
    <x v="4"/>
    <x v="5"/>
    <n v="1000238"/>
    <s v="SERV DESP PEDAGIO"/>
    <s v="PEDAGIO FRETE FAZENDA REPRESA G A   X  FAZENDA FLECHA AZUL "/>
    <m/>
    <x v="25"/>
    <n v="7901"/>
    <n v="371065"/>
    <m/>
    <n v="1"/>
    <s v="UA"/>
    <n v="674.73"/>
    <n v="674.73"/>
  </r>
  <r>
    <n v="405"/>
    <x v="77"/>
    <x v="7"/>
    <x v="0"/>
    <x v="4"/>
    <x v="5"/>
    <n v="1000287"/>
    <s v="SERV FRETE CAMINHAO PRANCHA AGRIC"/>
    <s v="FRETE  FAZENDA REPRESA G A   X   FAZ.FLECHA AZUL "/>
    <n v="4106"/>
    <x v="28"/>
    <m/>
    <n v="371065"/>
    <m/>
    <n v="430"/>
    <s v="KM"/>
    <n v="12.06"/>
    <n v="5185.8"/>
  </r>
  <r>
    <n v="406"/>
    <x v="78"/>
    <x v="7"/>
    <x v="2"/>
    <x v="4"/>
    <x v="5"/>
    <n v="1000238"/>
    <s v="SERV DESP PEDAGIO"/>
    <s v="PEDAGIO FRETE FAZ. FLECHA AZUL X FAZENDA REPRESA G A"/>
    <m/>
    <x v="25"/>
    <n v="7901"/>
    <n v="371065"/>
    <m/>
    <n v="1"/>
    <s v="UA"/>
    <n v="843.1"/>
    <n v="843.1"/>
  </r>
  <r>
    <n v="407"/>
    <x v="78"/>
    <x v="7"/>
    <x v="0"/>
    <x v="4"/>
    <x v="5"/>
    <n v="1000287"/>
    <s v="SERV FRETE CAMINHAO PRANCHA AGRIC"/>
    <s v="FRETE   FAZ.FLECHA AZUL X  FAZENDA REPRESA G A"/>
    <n v="4006"/>
    <x v="33"/>
    <m/>
    <n v="371065"/>
    <m/>
    <n v="419"/>
    <s v="KM"/>
    <n v="12.06"/>
    <n v="5053.1400000000003"/>
  </r>
  <r>
    <n v="408"/>
    <x v="78"/>
    <x v="7"/>
    <x v="7"/>
    <x v="4"/>
    <x v="5"/>
    <s v="0000000"/>
    <s v="SERV DESP SEGURO"/>
    <s v="SEGURO"/>
    <m/>
    <x v="25"/>
    <n v="7901"/>
    <n v="371065"/>
    <m/>
    <n v="1"/>
    <m/>
    <n v="260"/>
    <n v="260"/>
  </r>
  <r>
    <n v="409"/>
    <x v="79"/>
    <x v="8"/>
    <x v="2"/>
    <x v="3"/>
    <x v="5"/>
    <n v="1000238"/>
    <s v="SERV DESP PEDAGIO"/>
    <s v="PEDAGIO FRETE FAZENDA SAO CRISTOVAO X   FAZENDA BURITIS"/>
    <m/>
    <x v="25"/>
    <n v="7901"/>
    <n v="371055"/>
    <m/>
    <n v="1"/>
    <s v="UA"/>
    <n v="445.05999999999995"/>
    <n v="445.05999999999995"/>
  </r>
  <r>
    <n v="410"/>
    <x v="79"/>
    <x v="8"/>
    <x v="0"/>
    <x v="3"/>
    <x v="5"/>
    <n v="1000287"/>
    <s v="SERV FRETE CAMINHAO PRANCHA AGRIC"/>
    <s v="FRETE FRETE FAZENDA SAO CRISTOVAO   X  FAZENDA BURITIS"/>
    <n v="4060"/>
    <x v="2"/>
    <m/>
    <n v="371055"/>
    <m/>
    <n v="465"/>
    <s v="KM"/>
    <n v="12.06"/>
    <n v="5607.9000000000005"/>
  </r>
  <r>
    <n v="411"/>
    <x v="79"/>
    <x v="8"/>
    <x v="7"/>
    <x v="3"/>
    <x v="5"/>
    <s v="0000000"/>
    <s v="SERV DESP SEGURO"/>
    <s v="SEGURO"/>
    <m/>
    <x v="25"/>
    <n v="7901"/>
    <n v="371055"/>
    <m/>
    <n v="1"/>
    <m/>
    <n v="260"/>
    <n v="260"/>
  </r>
  <r>
    <n v="412"/>
    <x v="74"/>
    <x v="7"/>
    <x v="2"/>
    <x v="2"/>
    <x v="1"/>
    <n v="1000238"/>
    <s v="SERV DESP PEDAGIO"/>
    <s v="PEDAGIO FRETE FAZ. NOSSA SRA DE GUADALUPES X   FAZ. LIBERDADE III"/>
    <m/>
    <x v="25"/>
    <n v="7901"/>
    <n v="371075"/>
    <m/>
    <n v="1"/>
    <s v="UA"/>
    <n v="188.9"/>
    <n v="188.9"/>
  </r>
  <r>
    <n v="413"/>
    <x v="74"/>
    <x v="7"/>
    <x v="0"/>
    <x v="2"/>
    <x v="1"/>
    <n v="1000287"/>
    <s v="SERV FRETE CAMINHAO PRANCHA AGRIC"/>
    <s v="FRETE FRETE   FAZ. NOSSA SRA DE GUADALUPES  X  FAZ. LIBERDADE III"/>
    <n v="4068"/>
    <x v="24"/>
    <m/>
    <n v="371075"/>
    <m/>
    <n v="334"/>
    <s v="KM"/>
    <n v="12.28"/>
    <n v="4101.5199999999995"/>
  </r>
  <r>
    <n v="414"/>
    <x v="80"/>
    <x v="9"/>
    <x v="2"/>
    <x v="0"/>
    <x v="1"/>
    <n v="1000238"/>
    <s v="SERV DESP PEDAGIO"/>
    <s v="PEDAGIO FRETE FAZENDA BELA VISTA VII  X   FAZENDA CONGONHAS II"/>
    <m/>
    <x v="25"/>
    <n v="7901"/>
    <n v="371094"/>
    <m/>
    <n v="1"/>
    <s v="UA"/>
    <n v="188.8"/>
    <n v="188.8"/>
  </r>
  <r>
    <n v="415"/>
    <x v="80"/>
    <x v="9"/>
    <x v="0"/>
    <x v="0"/>
    <x v="1"/>
    <n v="1000287"/>
    <s v="SERV FRETE CAMINHAO PRANCHA AGRIC"/>
    <s v="FRETE FRETE FAZENDA BELA VISTA VII   X  FAZENDA CONGONHAS II"/>
    <n v="4029"/>
    <x v="34"/>
    <m/>
    <n v="371094"/>
    <m/>
    <n v="224"/>
    <s v="KM"/>
    <n v="12.28"/>
    <n v="2750.72"/>
  </r>
  <r>
    <n v="416"/>
    <x v="80"/>
    <x v="9"/>
    <x v="2"/>
    <x v="0"/>
    <x v="1"/>
    <n v="1000238"/>
    <s v="SERV DESP PEDAGIO"/>
    <s v="PEDAGIO FRETE FAZENDA BELA VISTA VII  X   FAZENDA CONGONHAS II"/>
    <m/>
    <x v="25"/>
    <n v="7901"/>
    <n v="371094"/>
    <m/>
    <n v="1"/>
    <s v="UA"/>
    <n v="86.1"/>
    <n v="86.1"/>
  </r>
  <r>
    <n v="417"/>
    <x v="80"/>
    <x v="9"/>
    <x v="0"/>
    <x v="0"/>
    <x v="1"/>
    <n v="1000287"/>
    <s v="SERV FRETE CAMINHAO PRANCHA AGRIC"/>
    <s v="FRETE FRETE FAZENDA BELA VISTA VII   X  FAZENDA CONGONHAS II"/>
    <n v="4029"/>
    <x v="34"/>
    <m/>
    <n v="371094"/>
    <m/>
    <n v="268"/>
    <s v="KM"/>
    <n v="12.28"/>
    <n v="3291.04"/>
  </r>
  <r>
    <n v="422"/>
    <x v="81"/>
    <x v="8"/>
    <x v="2"/>
    <x v="4"/>
    <x v="1"/>
    <n v="1000238"/>
    <s v="SERV DESP PEDAGIO"/>
    <s v="PEDAGIO FRETE  FAZENDA MENDES UNIÃO   X   FAZ. FLECHA AZUL - BOA ESPERANÇA DO SUL"/>
    <m/>
    <x v="25"/>
    <n v="7901"/>
    <n v="371065"/>
    <m/>
    <n v="1"/>
    <s v="UA"/>
    <n v="449.32"/>
    <n v="449.32"/>
  </r>
  <r>
    <n v="423"/>
    <x v="81"/>
    <x v="8"/>
    <x v="0"/>
    <x v="4"/>
    <x v="1"/>
    <n v="1000287"/>
    <s v="SERV FRETE CAMINHAO PRANCHA AGRIC"/>
    <s v="FRETE FRETE FAZENDA MENDES UNIÃO  X  FAZ. FLECHA AZUL - BOA ESPERANÇA DO SUL"/>
    <n v="4106"/>
    <x v="28"/>
    <m/>
    <n v="371065"/>
    <m/>
    <n v="497"/>
    <s v="KM"/>
    <n v="12.28"/>
    <n v="6103.16"/>
  </r>
  <r>
    <n v="424"/>
    <x v="76"/>
    <x v="8"/>
    <x v="2"/>
    <x v="4"/>
    <x v="1"/>
    <n v="1000238"/>
    <s v="SERV DESP PEDAGIO"/>
    <s v="PEDAGIO FRETE  FAZ. ÁGUA FRIA - ANGATUBA   X   FAZ. FLECHA AZUL - BOA ESPERANÇA DO SUL"/>
    <m/>
    <x v="25"/>
    <n v="7901"/>
    <n v="371094"/>
    <m/>
    <n v="1"/>
    <s v="UA"/>
    <n v="447.32"/>
    <n v="447.32"/>
  </r>
  <r>
    <n v="425"/>
    <x v="76"/>
    <x v="8"/>
    <x v="0"/>
    <x v="4"/>
    <x v="1"/>
    <n v="1000287"/>
    <s v="SERV FRETE CAMINHAO PRANCHA AGRIC"/>
    <s v="FRETE FRETE FAZ. ÁGUA FRIA - ANGATUBA   X  FAZ. FLECHA AZUL - BOA ESPERANÇA DO SUL"/>
    <n v="4106"/>
    <x v="28"/>
    <m/>
    <n v="371094"/>
    <m/>
    <n v="438"/>
    <s v="KM"/>
    <n v="12.28"/>
    <n v="5378.6399999999994"/>
  </r>
  <r>
    <n v="426"/>
    <x v="82"/>
    <x v="9"/>
    <x v="2"/>
    <x v="0"/>
    <x v="1"/>
    <n v="1000238"/>
    <s v="SERV DESP PEDAGIO"/>
    <s v="PEDAGIO FRETE FAZENDA BELA VISTA VII   X   FAZENDA CONGONHAS II"/>
    <m/>
    <x v="25"/>
    <n v="7901"/>
    <n v="371094"/>
    <m/>
    <n v="1"/>
    <s v="UA"/>
    <n v="181.65"/>
    <n v="181.65"/>
  </r>
  <r>
    <n v="427"/>
    <x v="82"/>
    <x v="9"/>
    <x v="0"/>
    <x v="0"/>
    <x v="1"/>
    <n v="1000287"/>
    <s v="SERV FRETE CAMINHAO PRANCHA AGRIC"/>
    <s v="FRETE FRETE  FAZENDA BELA VISTA VII  X  FAZENDA CONGONHAS II"/>
    <n v="4029"/>
    <x v="34"/>
    <m/>
    <n v="371094"/>
    <m/>
    <n v="274"/>
    <s v="KM"/>
    <n v="12.28"/>
    <n v="3364.72"/>
  </r>
  <r>
    <n v="428"/>
    <x v="82"/>
    <x v="9"/>
    <x v="2"/>
    <x v="0"/>
    <x v="1"/>
    <n v="1000287"/>
    <s v="SERV DESP PEDAGIO"/>
    <s v="PEDAGIO FRETE FAZENDA BELA VISTA VII   X   FAZENDA CONGONHAS II"/>
    <m/>
    <x v="25"/>
    <n v="7901"/>
    <n v="371094"/>
    <m/>
    <n v="1"/>
    <s v="UA"/>
    <n v="146.84"/>
    <n v="146.84"/>
  </r>
  <r>
    <n v="429"/>
    <x v="82"/>
    <x v="9"/>
    <x v="0"/>
    <x v="0"/>
    <x v="1"/>
    <n v="1000287"/>
    <s v="SERV FRETE CAMINHAO PRANCHA AGRIC"/>
    <s v="FRETE FRETE  FAZENDA BELA VISTA VII  X  FAZENDA CONGONHAS II"/>
    <n v="4029"/>
    <x v="34"/>
    <m/>
    <n v="371094"/>
    <m/>
    <n v="273"/>
    <s v="KM"/>
    <n v="12.28"/>
    <n v="3352.4399999999996"/>
  </r>
  <r>
    <n v="430"/>
    <x v="83"/>
    <x v="9"/>
    <x v="2"/>
    <x v="5"/>
    <x v="1"/>
    <n v="1000238"/>
    <s v="SERV DESP PEDAGIO"/>
    <s v="PEDAGIO FRETE FAZENDA FLECHA AZUL X   FAZENDA TURVNHO I"/>
    <m/>
    <x v="25"/>
    <n v="7901"/>
    <n v="371045"/>
    <m/>
    <n v="1"/>
    <s v="UA"/>
    <n v="290.75"/>
    <n v="290.75"/>
  </r>
  <r>
    <n v="431"/>
    <x v="83"/>
    <x v="9"/>
    <x v="0"/>
    <x v="5"/>
    <x v="1"/>
    <n v="1000287"/>
    <s v="SERV FRETE CAMINHAO PRANCHA AGRIC"/>
    <s v="FRETE FRETE  FAZENDA FLECHA AZUL  X  FAZENDA TURVNHO I"/>
    <n v="4016"/>
    <x v="5"/>
    <m/>
    <n v="371045"/>
    <m/>
    <n v="366"/>
    <s v="KM"/>
    <n v="12.28"/>
    <n v="4494.4799999999996"/>
  </r>
  <r>
    <n v="432"/>
    <x v="83"/>
    <x v="9"/>
    <x v="2"/>
    <x v="4"/>
    <x v="1"/>
    <n v="1000238"/>
    <s v="SERV DESP PEDAGIO"/>
    <s v="PEDAGIO FRETE FAZENDA FLECHA AZUL  X  FAZ. SANTA ROSA"/>
    <m/>
    <x v="25"/>
    <n v="7901"/>
    <n v="371065"/>
    <m/>
    <n v="1"/>
    <s v="UA"/>
    <n v="749.69"/>
    <n v="749.69"/>
  </r>
  <r>
    <n v="433"/>
    <x v="83"/>
    <x v="9"/>
    <x v="0"/>
    <x v="4"/>
    <x v="1"/>
    <n v="1000287"/>
    <s v="SERV FRETE CAMINHAO PRANCHA AGRIC"/>
    <s v="FRETE FRETE  FAZENDA FLECHA AZUL  X  FAZ. SANTA ROSA"/>
    <n v="4070"/>
    <x v="14"/>
    <m/>
    <n v="371065"/>
    <m/>
    <n v="687"/>
    <s v="KM"/>
    <n v="12.28"/>
    <n v="8436.3599999999988"/>
  </r>
  <r>
    <n v="434"/>
    <x v="83"/>
    <x v="9"/>
    <x v="2"/>
    <x v="4"/>
    <x v="1"/>
    <n v="1000238"/>
    <s v="SERV DESP PEDAGIO"/>
    <s v="PEDAGIO FRETE FAZENDA FLECHA AZUL  X  FAZ. SANTA ROSA"/>
    <m/>
    <x v="25"/>
    <n v="7901"/>
    <n v="371065"/>
    <m/>
    <n v="1"/>
    <s v="UA"/>
    <n v="1050.29"/>
    <n v="1050.29"/>
  </r>
  <r>
    <n v="435"/>
    <x v="83"/>
    <x v="9"/>
    <x v="0"/>
    <x v="4"/>
    <x v="1"/>
    <n v="1000287"/>
    <s v="SERV FRETE CAMINHAO PRANCHA AGRIC"/>
    <s v="FRETE FRETE  FAZENDA FLECHA AZUL  X  FAZ. SANTA ROSA"/>
    <n v="4070"/>
    <x v="14"/>
    <m/>
    <n v="371065"/>
    <m/>
    <n v="827"/>
    <s v="KM"/>
    <n v="12.28"/>
    <n v="10155.56"/>
  </r>
  <r>
    <n v="436"/>
    <x v="83"/>
    <x v="9"/>
    <x v="2"/>
    <x v="4"/>
    <x v="1"/>
    <n v="1000238"/>
    <s v="SERV DESP PEDAGIO"/>
    <s v="PEDAGIO FRETE FAZENDA FLECHA AZUL  X  FAZ. SANTA ROSA"/>
    <m/>
    <x v="25"/>
    <n v="7901"/>
    <n v="371065"/>
    <m/>
    <n v="1"/>
    <s v="UA"/>
    <n v="877.08"/>
    <n v="877.08"/>
  </r>
  <r>
    <n v="437"/>
    <x v="83"/>
    <x v="9"/>
    <x v="0"/>
    <x v="4"/>
    <x v="1"/>
    <n v="1000287"/>
    <s v="SERV FRETE CAMINHAO PRANCHA AGRIC"/>
    <s v="FRETE FRETE  FAZENDA FLECHA AZUL  X  FAZ. SANTA ROSA"/>
    <n v="4070"/>
    <x v="14"/>
    <m/>
    <n v="371065"/>
    <m/>
    <n v="808"/>
    <s v="KM"/>
    <n v="12.28"/>
    <n v="9922.24"/>
  </r>
  <r>
    <n v="440"/>
    <x v="84"/>
    <x v="9"/>
    <x v="2"/>
    <x v="5"/>
    <x v="1"/>
    <n v="1000238"/>
    <s v="SERV DESP PEDAGIO"/>
    <s v="PEDAGIO FRETE OFICINA MS X   CAT - LENÇÓIS PAULISTA"/>
    <m/>
    <x v="25"/>
    <n v="7901"/>
    <n v="371045"/>
    <m/>
    <n v="1"/>
    <s v="UA"/>
    <n v="926.03"/>
    <n v="926.03"/>
  </r>
  <r>
    <n v="441"/>
    <x v="84"/>
    <x v="9"/>
    <x v="0"/>
    <x v="5"/>
    <x v="1"/>
    <n v="1000287"/>
    <s v="SERV FRETE CAMINHAO PRANCHA AGRIC"/>
    <s v="FRETE FRETE OFICINA MS  X  CAT - LENÇÓIS PAULISTA"/>
    <m/>
    <x v="25"/>
    <n v="7901"/>
    <n v="371045"/>
    <m/>
    <n v="836"/>
    <s v="KM"/>
    <n v="12.28"/>
    <n v="10266.08"/>
  </r>
  <r>
    <n v="442"/>
    <x v="84"/>
    <x v="9"/>
    <x v="7"/>
    <x v="5"/>
    <x v="1"/>
    <n v="1000238"/>
    <s v="SERV DESP SEGURO"/>
    <s v="SEGURO"/>
    <m/>
    <x v="25"/>
    <n v="7901"/>
    <n v="371045"/>
    <m/>
    <n v="1"/>
    <s v="UA"/>
    <n v="1698.11"/>
    <n v="1698.11"/>
  </r>
  <r>
    <n v="443"/>
    <x v="85"/>
    <x v="8"/>
    <x v="2"/>
    <x v="5"/>
    <x v="8"/>
    <n v="1000238"/>
    <s v="SERV DESP PEDAGIO"/>
    <s v="PEDAGIO FRETE POSTO PASARELA  X   FAZ. BELA VISTA 3"/>
    <m/>
    <x v="25"/>
    <n v="7901"/>
    <n v="371045"/>
    <m/>
    <n v="1"/>
    <s v="UA"/>
    <n v="643.20000000000005"/>
    <n v="643.20000000000005"/>
  </r>
  <r>
    <n v="444"/>
    <x v="85"/>
    <x v="8"/>
    <x v="0"/>
    <x v="5"/>
    <x v="8"/>
    <n v="1000287"/>
    <s v="SERV FRETE CAMINHAO PRANCHA AGRIC"/>
    <s v="FRETE FRETE POSTO PASARELA  X  FAZ. BELA VISTA 3"/>
    <n v="7068"/>
    <x v="24"/>
    <m/>
    <n v="371045"/>
    <m/>
    <n v="921"/>
    <s v="KM"/>
    <n v="12"/>
    <n v="11052"/>
  </r>
  <r>
    <n v="445"/>
    <x v="86"/>
    <x v="8"/>
    <x v="2"/>
    <x v="5"/>
    <x v="8"/>
    <n v="1000238"/>
    <s v="SERV DESP PEDAGIO"/>
    <s v="PEDAGIO FRETE POSTO PASARELA  X   FAZ. BELA VISTA 3"/>
    <m/>
    <x v="25"/>
    <n v="7901"/>
    <n v="371045"/>
    <m/>
    <n v="1"/>
    <s v="UA"/>
    <n v="687.6"/>
    <n v="687.6"/>
  </r>
  <r>
    <m/>
    <x v="86"/>
    <x v="8"/>
    <x v="0"/>
    <x v="5"/>
    <x v="8"/>
    <n v="1000287"/>
    <s v="SERV FRETE CAMINHAO PRANCHA AGRIC"/>
    <s v="FRETE FRETE POSTO PASARELA  X  FAZ. BELA VISTA 3"/>
    <n v="7068"/>
    <x v="24"/>
    <m/>
    <n v="371045"/>
    <n v="921"/>
    <n v="921"/>
    <s v="KM"/>
    <n v="12"/>
    <n v="11052"/>
  </r>
  <r>
    <m/>
    <x v="85"/>
    <x v="8"/>
    <x v="10"/>
    <x v="5"/>
    <x v="8"/>
    <s v="0000000"/>
    <s v="SERV DESP HORAS"/>
    <s v="PEDAGIO FRETE POSTO PASARELA  X   FAZ. BELA VISTA 3"/>
    <m/>
    <x v="25"/>
    <n v="7901"/>
    <n v="371045"/>
    <m/>
    <n v="8"/>
    <s v="UA"/>
    <n v="200"/>
    <n v="1600"/>
  </r>
  <r>
    <m/>
    <x v="85"/>
    <x v="8"/>
    <x v="10"/>
    <x v="5"/>
    <x v="8"/>
    <s v="0000000"/>
    <s v="SERV DESP HORAS"/>
    <s v="FRETE FRETE POSTO PASARELA  X  FAZ. BELA VISTA 3"/>
    <n v="7068"/>
    <x v="24"/>
    <m/>
    <n v="371045"/>
    <m/>
    <n v="8"/>
    <s v="UA"/>
    <n v="200"/>
    <n v="1600"/>
  </r>
  <r>
    <n v="447"/>
    <x v="87"/>
    <x v="9"/>
    <x v="2"/>
    <x v="4"/>
    <x v="1"/>
    <n v="1000238"/>
    <s v="SERV DESP PEDAGIO"/>
    <s v="PEDAGIO FRETE  FAZ. SANTA ROSA IV  X  FAZ. SANTO ANTONIO DOS PALMARES"/>
    <m/>
    <x v="25"/>
    <n v="7901"/>
    <n v="371065"/>
    <m/>
    <n v="1"/>
    <s v="UA"/>
    <n v="648.83000000000004"/>
    <n v="648.83000000000004"/>
  </r>
  <r>
    <n v="448"/>
    <x v="87"/>
    <x v="9"/>
    <x v="0"/>
    <x v="4"/>
    <x v="1"/>
    <n v="1000287"/>
    <s v="SERV FRETE CAMINHAO PRANCHA AGRIC"/>
    <s v="FRETE FRETE FAZ. SANTA ROSA IV  X  FAZ. SANTO ANTONIO DOS PALMARES"/>
    <n v="7019"/>
    <x v="35"/>
    <m/>
    <n v="371065"/>
    <m/>
    <n v="471"/>
    <s v="KM"/>
    <n v="12.28"/>
    <n v="5783.88"/>
  </r>
  <r>
    <n v="449"/>
    <x v="87"/>
    <x v="9"/>
    <x v="2"/>
    <x v="4"/>
    <x v="1"/>
    <n v="1000238"/>
    <s v="SERV DESP PEDAGIO"/>
    <s v="PEDAGIO FRETE  FAZ. SANTA ROSA IV  X  FAZ. SANTO ANTONIO DOS PALMARES"/>
    <m/>
    <x v="25"/>
    <n v="7901"/>
    <n v="371065"/>
    <m/>
    <n v="1"/>
    <s v="UA"/>
    <n v="540.67999999999995"/>
    <n v="540.67999999999995"/>
  </r>
  <r>
    <n v="450"/>
    <x v="87"/>
    <x v="9"/>
    <x v="0"/>
    <x v="4"/>
    <x v="1"/>
    <n v="1000287"/>
    <s v="SERV FRETE CAMINHAO PRANCHA AGRIC"/>
    <s v="FRETE FRETE FAZ. SANTA ROSA IV  X  FAZ. SANTO ANTONIO DOS PALMARES"/>
    <n v="7019"/>
    <x v="35"/>
    <m/>
    <n v="371065"/>
    <m/>
    <n v="460"/>
    <s v="KM"/>
    <n v="12.28"/>
    <n v="5648.7999999999993"/>
  </r>
  <r>
    <n v="451"/>
    <x v="87"/>
    <x v="9"/>
    <x v="2"/>
    <x v="5"/>
    <x v="1"/>
    <n v="1000238"/>
    <s v="SERV DESP PEDAGIO"/>
    <s v="PEDAGIO FRETE FAZ. SANTO ANTONIO DOS PALMARES  X  FAZ. SÃO GERONIMO II"/>
    <m/>
    <x v="25"/>
    <n v="7901"/>
    <n v="371045"/>
    <m/>
    <n v="1"/>
    <s v="UA"/>
    <n v="268.43"/>
    <n v="268.43"/>
  </r>
  <r>
    <n v="452"/>
    <x v="87"/>
    <x v="9"/>
    <x v="0"/>
    <x v="5"/>
    <x v="1"/>
    <n v="1000287"/>
    <s v="SERV FRETE CAMINHAO PRANCHA AGRIC"/>
    <s v="FRETE FRETE FAZ. SANTO ANTONIO DOS PALMARES  X  FAZ. SÃO GERONIMO II"/>
    <n v="571"/>
    <x v="17"/>
    <m/>
    <n v="371045"/>
    <m/>
    <n v="281"/>
    <s v="KM"/>
    <n v="12.28"/>
    <n v="3450.68"/>
  </r>
  <r>
    <n v="453"/>
    <x v="87"/>
    <x v="9"/>
    <x v="2"/>
    <x v="4"/>
    <x v="1"/>
    <n v="1000238"/>
    <s v="SERV DESP PEDAGIO"/>
    <s v="PEDAGIO FRETE  FAZ. SANTA ROSA IV  X  FAZ. SANTO ANTONIO DOS PALMARES"/>
    <m/>
    <x v="25"/>
    <n v="7901"/>
    <n v="371065"/>
    <m/>
    <n v="1"/>
    <s v="UA"/>
    <n v="712.48"/>
    <n v="712.48"/>
  </r>
  <r>
    <n v="454"/>
    <x v="87"/>
    <x v="9"/>
    <x v="0"/>
    <x v="4"/>
    <x v="1"/>
    <n v="1000287"/>
    <s v="SERV FRETE CAMINHAO PRANCHA AGRIC"/>
    <s v="FRETE FRETE FAZ. SANTA ROSA IV  X  FAZ. SANTO ANTONIO DOS PALMARES"/>
    <n v="7019"/>
    <x v="35"/>
    <m/>
    <n v="371065"/>
    <m/>
    <n v="612"/>
    <s v="KM"/>
    <n v="12.28"/>
    <n v="7515.36"/>
  </r>
  <r>
    <n v="455"/>
    <x v="88"/>
    <x v="9"/>
    <x v="2"/>
    <x v="4"/>
    <x v="1"/>
    <n v="1000238"/>
    <s v="SERV DESP PEDAGIO"/>
    <s v="PEDAGIO FRETE FAZ. BURITIS  X  PÁTIO BRACELL"/>
    <m/>
    <x v="25"/>
    <n v="7901"/>
    <n v="371065"/>
    <m/>
    <n v="1"/>
    <s v="UA"/>
    <n v="202.6"/>
    <n v="202.6"/>
  </r>
  <r>
    <n v="456"/>
    <x v="88"/>
    <x v="10"/>
    <x v="0"/>
    <x v="4"/>
    <x v="1"/>
    <n v="1000287"/>
    <s v="SERV FRETE CAMINHAO PRANCHA AGRIC"/>
    <s v="FRETE FRETE  FAZ. BURITIS X  PÁTIO BRACELL "/>
    <n v="7901"/>
    <x v="25"/>
    <m/>
    <n v="371065"/>
    <m/>
    <n v="250"/>
    <s v="KM"/>
    <n v="12.28"/>
    <n v="3070"/>
  </r>
  <r>
    <n v="457"/>
    <x v="88"/>
    <x v="11"/>
    <x v="2"/>
    <x v="4"/>
    <x v="1"/>
    <n v="1000238"/>
    <s v="SERV DESP PEDAGIO"/>
    <s v="PEDAGIO FRETE FAZ. BURITIS  X  PÁTIO BRACELL"/>
    <m/>
    <x v="25"/>
    <n v="7901"/>
    <n v="371065"/>
    <m/>
    <n v="1"/>
    <s v="UA"/>
    <n v="212.3"/>
    <n v="212.3"/>
  </r>
  <r>
    <n v="458"/>
    <x v="88"/>
    <x v="12"/>
    <x v="0"/>
    <x v="4"/>
    <x v="1"/>
    <n v="1000287"/>
    <s v="SERV FRETE CAMINHAO PRANCHA AGRIC"/>
    <s v="FRETE FRETE  FAZ. BURITIS X  PÁTIO BRACELL "/>
    <n v="7901"/>
    <x v="25"/>
    <m/>
    <n v="371065"/>
    <m/>
    <n v="250"/>
    <s v="KM"/>
    <n v="12.28"/>
    <n v="3070"/>
  </r>
  <r>
    <n v="459"/>
    <x v="88"/>
    <x v="13"/>
    <x v="2"/>
    <x v="4"/>
    <x v="1"/>
    <n v="1000238"/>
    <s v="SERV DESP PEDAGIO"/>
    <s v="PEDAGIO FRETE FAZ. BURITIS  X  PÁTIO BRACELL"/>
    <m/>
    <x v="25"/>
    <n v="7901"/>
    <n v="371065"/>
    <m/>
    <n v="1"/>
    <s v="UA"/>
    <n v="202.6"/>
    <n v="202.6"/>
  </r>
  <r>
    <n v="460"/>
    <x v="88"/>
    <x v="14"/>
    <x v="0"/>
    <x v="4"/>
    <x v="1"/>
    <n v="1000287"/>
    <s v="SERV FRETE CAMINHAO PRANCHA AGRIC"/>
    <s v="FRETE FRETE  FAZ. BURITIS X  PÁTIO BRACELL "/>
    <n v="7901"/>
    <x v="25"/>
    <m/>
    <n v="371065"/>
    <m/>
    <n v="195"/>
    <s v="KM"/>
    <n v="12.28"/>
    <n v="2394.6"/>
  </r>
  <r>
    <n v="461"/>
    <x v="88"/>
    <x v="13"/>
    <x v="2"/>
    <x v="4"/>
    <x v="1"/>
    <n v="1000238"/>
    <s v="SERV DESP PEDAGIO"/>
    <s v="PEDAGIO FRETE FAZ. SANTO ANTONIO DOS PALMARES  X  FAZ. SANTA ROSA IV"/>
    <m/>
    <x v="25"/>
    <n v="7901"/>
    <n v="371065"/>
    <m/>
    <n v="1"/>
    <s v="UA"/>
    <n v="912.23"/>
    <n v="912.23"/>
  </r>
  <r>
    <n v="462"/>
    <x v="88"/>
    <x v="14"/>
    <x v="0"/>
    <x v="4"/>
    <x v="1"/>
    <n v="1000287"/>
    <s v="SERV FRETE CAMINHAO PRANCHA AGRIC"/>
    <s v="FRETE FRETE FAZ. SANTO ANTONIO DOS PALMARES  X FAZ. SANTA ROSA IV"/>
    <n v="7024"/>
    <x v="36"/>
    <m/>
    <n v="371065"/>
    <m/>
    <n v="617"/>
    <s v="KM"/>
    <n v="12.28"/>
    <n v="7576.7599999999993"/>
  </r>
  <r>
    <n v="463"/>
    <x v="88"/>
    <x v="9"/>
    <x v="2"/>
    <x v="4"/>
    <x v="1"/>
    <n v="1000238"/>
    <s v="SERV DESP PEDAGIO"/>
    <s v="PEDAGIO FRETE FAZ. BURITIS  X  PÁTIO BRACELL"/>
    <m/>
    <x v="25"/>
    <n v="7901"/>
    <n v="371065"/>
    <m/>
    <n v="1"/>
    <s v="UA"/>
    <n v="158.4"/>
    <n v="158.4"/>
  </r>
  <r>
    <n v="464"/>
    <x v="88"/>
    <x v="10"/>
    <x v="0"/>
    <x v="4"/>
    <x v="1"/>
    <n v="1000287"/>
    <s v="SERV FRETE CAMINHAO PRANCHA AGRIC"/>
    <s v="FRETE FRETE  FAZ. BURITIS X  PÁTIO BRACELL "/>
    <n v="7901"/>
    <x v="25"/>
    <m/>
    <n v="371065"/>
    <m/>
    <n v="167"/>
    <s v="KM"/>
    <n v="12.28"/>
    <n v="2050.7599999999998"/>
  </r>
  <r>
    <n v="465"/>
    <x v="88"/>
    <x v="11"/>
    <x v="2"/>
    <x v="4"/>
    <x v="1"/>
    <n v="1000238"/>
    <s v="SERV DESP PEDAGIO"/>
    <s v="PEDAGIO FRETE FAZ. BURITIS  X  PÁTIO BRACELL"/>
    <m/>
    <x v="25"/>
    <n v="7901"/>
    <n v="371065"/>
    <m/>
    <n v="1"/>
    <s v="UA"/>
    <n v="118.9"/>
    <n v="118.9"/>
  </r>
  <r>
    <n v="466"/>
    <x v="88"/>
    <x v="12"/>
    <x v="0"/>
    <x v="4"/>
    <x v="1"/>
    <n v="1000287"/>
    <s v="SERV FRETE CAMINHAO PRANCHA AGRIC"/>
    <s v="FRETE FRETE  FAZ. BURITIS X  PÁTIO BRACELL "/>
    <n v="7901"/>
    <x v="25"/>
    <m/>
    <n v="371065"/>
    <m/>
    <n v="195"/>
    <s v="KM"/>
    <n v="12.28"/>
    <n v="2394.6"/>
  </r>
  <r>
    <n v="467"/>
    <x v="89"/>
    <x v="9"/>
    <x v="2"/>
    <x v="4"/>
    <x v="1"/>
    <n v="1000238"/>
    <s v="SERV DESP PEDAGIO"/>
    <s v="PEDAGIO FRETE FAZ. SANTO ANTONIO DOS PALMARES  X  FAZ. SANTA ROSA IV"/>
    <m/>
    <x v="25"/>
    <n v="7901"/>
    <n v="371065"/>
    <m/>
    <n v="1"/>
    <s v="UA"/>
    <n v="720.68"/>
    <n v="720.68"/>
  </r>
  <r>
    <n v="468"/>
    <x v="89"/>
    <x v="9"/>
    <x v="0"/>
    <x v="4"/>
    <x v="1"/>
    <n v="1000287"/>
    <s v="SERV FRETE CAMINHAO PRANCHA AGRIC"/>
    <s v="FRETE FRETE FAZ. SANTO ANTONIO DOS PALMARES  X FAZ. SANTA ROSA IV"/>
    <n v="7024"/>
    <x v="36"/>
    <m/>
    <n v="371065"/>
    <m/>
    <n v="603"/>
    <s v="KM"/>
    <n v="12.28"/>
    <n v="7404.8399999999992"/>
  </r>
  <r>
    <n v="469"/>
    <x v="89"/>
    <x v="9"/>
    <x v="2"/>
    <x v="4"/>
    <x v="1"/>
    <n v="1000238"/>
    <s v="SERV DESP PEDAGIO"/>
    <s v="PEDAGIO FRETE PÁTIO BRACELL - LENÇÓIS PAULISTA  X  FAZ. FLECHA AZUL"/>
    <m/>
    <x v="25"/>
    <n v="7901"/>
    <n v="371065"/>
    <m/>
    <n v="1"/>
    <s v="UA"/>
    <n v="213.46"/>
    <n v="213.46"/>
  </r>
  <r>
    <n v="470"/>
    <x v="89"/>
    <x v="9"/>
    <x v="0"/>
    <x v="4"/>
    <x v="1"/>
    <n v="1000287"/>
    <s v="SERV FRETE CAMINHAO PRANCHA AGRIC"/>
    <s v="FRETE FRETE PÁTIO BRACELL - LENÇÓIS PAULISTA  X FAZ. FLECHA AZUL"/>
    <n v="7106"/>
    <x v="37"/>
    <m/>
    <n v="371065"/>
    <m/>
    <n v="250"/>
    <s v="KM"/>
    <n v="12.28"/>
    <n v="3070"/>
  </r>
  <r>
    <n v="471"/>
    <x v="89"/>
    <x v="9"/>
    <x v="2"/>
    <x v="4"/>
    <x v="1"/>
    <n v="1000238"/>
    <s v="SERV DESP PEDAGIO"/>
    <s v="PEDAGIO FRETE FAZ. SANTO ANTONIO DOS PALMARES  X  FAZ. SANTA ROSA IV"/>
    <m/>
    <x v="25"/>
    <n v="7901"/>
    <n v="371065"/>
    <m/>
    <n v="1"/>
    <s v="UA"/>
    <n v="961.43"/>
    <n v="961.43"/>
  </r>
  <r>
    <n v="472"/>
    <x v="89"/>
    <x v="9"/>
    <x v="0"/>
    <x v="4"/>
    <x v="1"/>
    <n v="1000287"/>
    <s v="SERV FRETE CAMINHAO PRANCHA AGRIC"/>
    <s v="FRETE FRETE  FAZ. SANTO ANTONIO DOS PALMARES X FAZ. SANTA ROSA IV"/>
    <n v="7024"/>
    <x v="36"/>
    <m/>
    <n v="371065"/>
    <m/>
    <n v="604"/>
    <s v="KM"/>
    <n v="12.28"/>
    <n v="7417.12"/>
  </r>
  <r>
    <n v="473"/>
    <x v="90"/>
    <x v="15"/>
    <x v="2"/>
    <x v="0"/>
    <x v="0"/>
    <n v="1000238"/>
    <s v="SERV DESP PEDAGIO"/>
    <s v="PEDAGIO FRETE  FAZ. SÃO PEDRO  X  FAZ. IPÊ II"/>
    <m/>
    <x v="25"/>
    <n v="7901"/>
    <n v="371094"/>
    <m/>
    <n v="1"/>
    <s v="UA"/>
    <n v="221.2"/>
    <n v="221.2"/>
  </r>
  <r>
    <n v="474"/>
    <x v="90"/>
    <x v="15"/>
    <x v="0"/>
    <x v="0"/>
    <x v="0"/>
    <n v="1000287"/>
    <s v="SERV FRETE CAMINHAO PRANCHA AGRIC"/>
    <s v="FRETE FAZ. SÃO PEDRO  X FAZ. IPÊ II "/>
    <n v="7002"/>
    <x v="38"/>
    <m/>
    <n v="371094"/>
    <m/>
    <n v="323.89999999999998"/>
    <s v="KM"/>
    <n v="13.69"/>
    <n v="4434.1909999999998"/>
  </r>
  <r>
    <n v="475"/>
    <x v="91"/>
    <x v="9"/>
    <x v="2"/>
    <x v="3"/>
    <x v="1"/>
    <n v="1000238"/>
    <s v="SERV DESP PEDAGIO"/>
    <s v="PEDAGIO FRETE FAZ. SÃO JOSE II  X  FAZ. SANTO ANTONIO DOS PALMARES"/>
    <m/>
    <x v="25"/>
    <n v="7901"/>
    <n v="371055"/>
    <m/>
    <n v="1"/>
    <s v="UA"/>
    <n v="125.64"/>
    <n v="125.64"/>
  </r>
  <r>
    <n v="476"/>
    <x v="91"/>
    <x v="9"/>
    <x v="0"/>
    <x v="3"/>
    <x v="1"/>
    <n v="1000287"/>
    <s v="SERV FRETE CAMINHAO PRANCHA AGRIC"/>
    <s v="FRETE  FAZ. SÃO JOSE II  X FAZ. SANTO ANTONIO DOS PALMARES"/>
    <n v="7019"/>
    <x v="35"/>
    <s v="0657"/>
    <n v="371055"/>
    <m/>
    <n v="250"/>
    <s v="KM"/>
    <n v="12.28"/>
    <n v="3070"/>
  </r>
  <r>
    <n v="477"/>
    <x v="92"/>
    <x v="9"/>
    <x v="2"/>
    <x v="0"/>
    <x v="1"/>
    <n v="1000238"/>
    <s v="SERV DESP PEDAGIO"/>
    <s v="PEDAGIO FRETE  FAZ. NOSSA SRA DE LOURDES II   X  FAZ. SÃO PEDRO "/>
    <m/>
    <x v="25"/>
    <n v="7901"/>
    <n v="371045"/>
    <m/>
    <n v="1"/>
    <s v="UA"/>
    <n v="114.75"/>
    <n v="114.75"/>
  </r>
  <r>
    <n v="478"/>
    <x v="92"/>
    <x v="9"/>
    <x v="0"/>
    <x v="0"/>
    <x v="1"/>
    <n v="1000287"/>
    <s v="SERV FRETE CAMINHAO PRANCHA AGRIC"/>
    <s v="FRETE  FAZ. NOSSA SRA DE LOURDES II   X FAZ. SÃO PEDRO "/>
    <n v="7064"/>
    <x v="0"/>
    <s v="0177"/>
    <n v="371045"/>
    <m/>
    <n v="150"/>
    <s v="KM"/>
    <n v="12.28"/>
    <n v="1842"/>
  </r>
  <r>
    <n v="479"/>
    <x v="92"/>
    <x v="9"/>
    <x v="2"/>
    <x v="0"/>
    <x v="1"/>
    <n v="1000238"/>
    <s v="SERV DESP PEDAGIO"/>
    <s v="PEDAGIO FRETE  FAZ. NOSSA SRA DE LOURDES II   X  FAZ. SÃO PEDRO "/>
    <m/>
    <x v="25"/>
    <n v="7901"/>
    <n v="371045"/>
    <m/>
    <n v="1"/>
    <s v="UA"/>
    <n v="20.04"/>
    <n v="20.04"/>
  </r>
  <r>
    <n v="480"/>
    <x v="92"/>
    <x v="9"/>
    <x v="0"/>
    <x v="0"/>
    <x v="1"/>
    <n v="1000287"/>
    <s v="SERV FRETE CAMINHAO PRANCHA AGRIC"/>
    <s v="FRETE  FAZ. NOSSA SRA DE LOURDES II   X FAZ. SÃO PEDRO "/>
    <n v="7064"/>
    <x v="0"/>
    <s v="0177"/>
    <n v="371045"/>
    <m/>
    <n v="159"/>
    <s v="KM"/>
    <n v="12.28"/>
    <n v="1952.52"/>
  </r>
  <r>
    <n v="481"/>
    <x v="92"/>
    <x v="9"/>
    <x v="2"/>
    <x v="5"/>
    <x v="1"/>
    <n v="1000238"/>
    <s v="SERV DESP PEDAGIO"/>
    <s v="PEDAGIO FRETE FAZ. SANTA ROSA  X  FAZ. SANTO ANTONIO DOS PALMARES"/>
    <m/>
    <x v="25"/>
    <n v="7901"/>
    <n v="371045"/>
    <m/>
    <n v="1"/>
    <s v="UA"/>
    <n v="701.03"/>
    <n v="701.03"/>
  </r>
  <r>
    <n v="482"/>
    <x v="92"/>
    <x v="9"/>
    <x v="0"/>
    <x v="5"/>
    <x v="1"/>
    <n v="1000287"/>
    <s v="SERV FRETE CAMINHAO PRANCHA AGRIC"/>
    <s v="FRETE  FRETE FAZ. SANTA ROSA X FAZ. SANTO ANTONIO DOS PALMARES"/>
    <n v="7019"/>
    <x v="35"/>
    <s v="0657"/>
    <n v="371045"/>
    <m/>
    <n v="593"/>
    <s v="KM"/>
    <n v="12.28"/>
    <n v="7282.04"/>
  </r>
  <r>
    <n v="483"/>
    <x v="92"/>
    <x v="9"/>
    <x v="2"/>
    <x v="0"/>
    <x v="1"/>
    <n v="1000238"/>
    <s v="SERV DESP PEDAGIO"/>
    <s v="PEDAGIO FRETE  FAZ. NOSSA SRA DE LOURDES II   X  FAZ. SÃO PEDRO "/>
    <m/>
    <x v="25"/>
    <n v="7901"/>
    <n v="371045"/>
    <m/>
    <n v="1"/>
    <s v="UA"/>
    <n v="114.75"/>
    <n v="114.75"/>
  </r>
  <r>
    <n v="484"/>
    <x v="92"/>
    <x v="9"/>
    <x v="0"/>
    <x v="0"/>
    <x v="1"/>
    <n v="1000287"/>
    <s v="SERV FRETE CAMINHAO PRANCHA AGRIC"/>
    <s v="FRETE  FAZ. NOSSA SRA DE LOURDES II   X FAZ. SÃO PEDRO "/>
    <n v="7064"/>
    <x v="0"/>
    <s v="0177"/>
    <n v="371045"/>
    <m/>
    <n v="150"/>
    <s v="KM"/>
    <n v="12.28"/>
    <n v="1842"/>
  </r>
  <r>
    <n v="485"/>
    <x v="92"/>
    <x v="9"/>
    <x v="2"/>
    <x v="0"/>
    <x v="1"/>
    <n v="1000238"/>
    <s v="SERV DESP PEDAGIO"/>
    <s v="PEDAGIO FRETE  FAZ. NOSSA SRA DE LOURDES II   X  FAZ. SÃO PEDRO "/>
    <m/>
    <x v="25"/>
    <n v="7901"/>
    <n v="371045"/>
    <m/>
    <n v="1"/>
    <s v="UA"/>
    <n v="20.04"/>
    <n v="20.04"/>
  </r>
  <r>
    <n v="486"/>
    <x v="92"/>
    <x v="9"/>
    <x v="0"/>
    <x v="0"/>
    <x v="1"/>
    <n v="1000287"/>
    <s v="SERV FRETE CAMINHAO PRANCHA AGRIC"/>
    <s v="FRETE  FAZ. NOSSA SRA DE LOURDES II   X FAZ. SÃO PEDRO "/>
    <n v="7064"/>
    <x v="0"/>
    <s v="0177"/>
    <n v="371045"/>
    <m/>
    <n v="187"/>
    <s v="KM"/>
    <n v="12.28"/>
    <n v="2296.3599999999997"/>
  </r>
  <r>
    <n v="487"/>
    <x v="92"/>
    <x v="9"/>
    <x v="2"/>
    <x v="4"/>
    <x v="1"/>
    <n v="1000238"/>
    <s v="SERV DESP PEDAGIO"/>
    <s v="PEDAGIO FRETE FAZ. SANTA ROSA  X  FAZ. SANTO ANTONIO DOS PALMARES"/>
    <m/>
    <x v="25"/>
    <n v="7901"/>
    <n v="371065"/>
    <m/>
    <n v="1"/>
    <s v="UA"/>
    <n v="701.03"/>
    <n v="701.03"/>
  </r>
  <r>
    <n v="488"/>
    <x v="92"/>
    <x v="9"/>
    <x v="0"/>
    <x v="4"/>
    <x v="1"/>
    <n v="1000287"/>
    <s v="SERV FRETE CAMINHAO PRANCHA AGRIC"/>
    <s v="FRETE  FRETE FAZ. SANTA ROSA X FAZ. SANTO ANTONIO DOS PALMARES"/>
    <n v="7019"/>
    <x v="35"/>
    <s v="0657"/>
    <n v="371065"/>
    <m/>
    <n v="594"/>
    <s v="KM"/>
    <n v="12.28"/>
    <n v="7294.32"/>
  </r>
  <r>
    <n v="489"/>
    <x v="93"/>
    <x v="9"/>
    <x v="2"/>
    <x v="4"/>
    <x v="1"/>
    <n v="1000238"/>
    <s v="SERV DESP PEDAGIO"/>
    <s v="PEDAGIO FRETE FAZ. SANTA ROSA  X  FAZ. SANTO ANTONIO DOS PALMARES"/>
    <m/>
    <x v="25"/>
    <n v="7901"/>
    <n v="371065"/>
    <m/>
    <n v="1"/>
    <s v="UA"/>
    <n v="504.08"/>
    <n v="504.08"/>
  </r>
  <r>
    <n v="490"/>
    <x v="93"/>
    <x v="9"/>
    <x v="0"/>
    <x v="4"/>
    <x v="1"/>
    <n v="1000287"/>
    <s v="SERV FRETE CAMINHAO PRANCHA AGRIC"/>
    <s v="FRETE  FRETE FAZ. SANTA ROSA X FAZ. SANTO ANTONIO DOS PALMARES"/>
    <n v="7019"/>
    <x v="35"/>
    <s v="0657"/>
    <n v="371065"/>
    <m/>
    <n v="460"/>
    <s v="KM"/>
    <n v="12.28"/>
    <n v="5648.7999999999993"/>
  </r>
  <r>
    <n v="491"/>
    <x v="94"/>
    <x v="15"/>
    <x v="2"/>
    <x v="0"/>
    <x v="1"/>
    <n v="1000238"/>
    <s v="SERV DESP PEDAGIO"/>
    <s v="PEDAGIO FRETE FAZ. SÃO PEDRO X  FAZ. SÃO PEDRO"/>
    <m/>
    <x v="25"/>
    <n v="7901"/>
    <n v="371094"/>
    <m/>
    <n v="1"/>
    <s v="UA"/>
    <n v="125.64"/>
    <n v="125.64"/>
  </r>
  <r>
    <n v="492"/>
    <x v="94"/>
    <x v="15"/>
    <x v="0"/>
    <x v="0"/>
    <x v="1"/>
    <n v="1000287"/>
    <s v="SERV FRETE CAMINHAO PRANCHA AGRIC"/>
    <s v="FRETE  FRETE FAZ. SÃO PEDRO  X FAZ. SÃO PEDRO"/>
    <n v="7064"/>
    <x v="0"/>
    <s v="0177"/>
    <n v="371094"/>
    <m/>
    <n v="83.333333333333329"/>
    <s v="KM"/>
    <n v="12.28"/>
    <n v="1023.3333333333333"/>
  </r>
  <r>
    <n v="493"/>
    <x v="94"/>
    <x v="15"/>
    <x v="2"/>
    <x v="0"/>
    <x v="1"/>
    <n v="1000238"/>
    <s v="SERV DESP PEDAGIO"/>
    <s v="PEDAGIO FRETE FAZ. SÃO PEDRO X  FAZ. SÃO PEDRO"/>
    <m/>
    <x v="25"/>
    <n v="7901"/>
    <n v="371094"/>
    <m/>
    <n v="1"/>
    <s v="UA"/>
    <n v="0"/>
    <n v="0"/>
  </r>
  <r>
    <n v="494"/>
    <x v="94"/>
    <x v="15"/>
    <x v="0"/>
    <x v="0"/>
    <x v="1"/>
    <n v="1000287"/>
    <s v="SERV FRETE CAMINHAO PRANCHA AGRIC"/>
    <s v="FRETE  FRETE FAZ. SÃO PEDRO  X FAZ. SÃO PEDRO"/>
    <n v="7064"/>
    <x v="0"/>
    <s v="0177"/>
    <n v="371094"/>
    <m/>
    <n v="83.333333333333329"/>
    <s v="KM"/>
    <n v="12.28"/>
    <n v="1023.3333333333333"/>
  </r>
  <r>
    <n v="495"/>
    <x v="94"/>
    <x v="15"/>
    <x v="2"/>
    <x v="0"/>
    <x v="1"/>
    <n v="1000238"/>
    <s v="SERV DESP PEDAGIO"/>
    <s v="PEDAGIO FRETE FAZ. SÃO PEDRO X  FAZ. SÃO PEDRO"/>
    <m/>
    <x v="25"/>
    <n v="7901"/>
    <n v="371094"/>
    <m/>
    <n v="1"/>
    <s v="UA"/>
    <n v="47.4"/>
    <n v="47.4"/>
  </r>
  <r>
    <n v="496"/>
    <x v="94"/>
    <x v="15"/>
    <x v="0"/>
    <x v="0"/>
    <x v="1"/>
    <n v="1000287"/>
    <s v="SERV FRETE CAMINHAO PRANCHA AGRIC"/>
    <s v="FRETE  FRETE FAZ. SÃO PEDRO  X FAZ. SÃO PEDRO"/>
    <n v="7064"/>
    <x v="0"/>
    <s v="0177"/>
    <n v="371094"/>
    <m/>
    <n v="83.333333333333329"/>
    <s v="KM"/>
    <n v="12.28"/>
    <n v="1023.3333333333333"/>
  </r>
  <r>
    <n v="497"/>
    <x v="94"/>
    <x v="15"/>
    <x v="2"/>
    <x v="4"/>
    <x v="1"/>
    <n v="1000238"/>
    <s v="SERV DESP PEDAGIO"/>
    <s v="PEDAGIO FRETE FAZ. FLECHA AZUL X  FAZ. TURVINHO "/>
    <m/>
    <x v="25"/>
    <n v="7901"/>
    <n v="371065"/>
    <m/>
    <n v="1"/>
    <s v="UA"/>
    <n v="349.12"/>
    <n v="349.12"/>
  </r>
  <r>
    <n v="498"/>
    <x v="94"/>
    <x v="15"/>
    <x v="0"/>
    <x v="4"/>
    <x v="1"/>
    <n v="1000287"/>
    <s v="SERV FRETE CAMINHAO PRANCHA AGRIC"/>
    <s v="FRETE FAZ. FLECHA AZUL  X  FAZ. TURVINHO "/>
    <n v="7016"/>
    <x v="5"/>
    <s v="0012"/>
    <n v="371065"/>
    <m/>
    <n v="368"/>
    <s v="KM"/>
    <n v="12.28"/>
    <n v="4519.04"/>
  </r>
  <r>
    <n v="499"/>
    <x v="94"/>
    <x v="15"/>
    <x v="2"/>
    <x v="0"/>
    <x v="1"/>
    <n v="1000238"/>
    <s v="SERV DESP PEDAGIO"/>
    <s v="PEDAGIO FRETE FAZ. SÃO PEDRO X FAZ. SÃO PEDRO"/>
    <m/>
    <x v="25"/>
    <n v="7901"/>
    <n v="371045"/>
    <m/>
    <n v="1"/>
    <s v="UA"/>
    <n v="104.62"/>
    <n v="104.62"/>
  </r>
  <r>
    <n v="500"/>
    <x v="94"/>
    <x v="15"/>
    <x v="0"/>
    <x v="0"/>
    <x v="1"/>
    <n v="1000287"/>
    <s v="SERV FRETE CAMINHAO PRANCHA AGRIC"/>
    <s v="FRETE FAZ. SÃO PEDRO  X  FAZ. SÃO PEDRO"/>
    <n v="7064"/>
    <x v="0"/>
    <s v="0177"/>
    <n v="371045"/>
    <m/>
    <n v="83.333333333333329"/>
    <s v="KM"/>
    <n v="12.28"/>
    <n v="1023.3333333333333"/>
  </r>
  <r>
    <n v="501"/>
    <x v="94"/>
    <x v="15"/>
    <x v="2"/>
    <x v="0"/>
    <x v="1"/>
    <n v="1000238"/>
    <s v="SERV DESP PEDAGIO"/>
    <s v="PEDAGIO FRETE FAZ. SÃO PEDRO X FAZ. SÃO PEDRO"/>
    <m/>
    <x v="25"/>
    <n v="7901"/>
    <n v="371045"/>
    <m/>
    <n v="1"/>
    <s v="UA"/>
    <n v="0"/>
    <n v="0"/>
  </r>
  <r>
    <n v="502"/>
    <x v="94"/>
    <x v="15"/>
    <x v="0"/>
    <x v="0"/>
    <x v="1"/>
    <n v="1000287"/>
    <s v="SERV FRETE CAMINHAO PRANCHA AGRIC"/>
    <s v="FRETE FAZ. SÃO PEDRO  X  FAZ. SÃO PEDRO"/>
    <n v="7064"/>
    <x v="0"/>
    <s v="0177"/>
    <n v="371045"/>
    <m/>
    <n v="83.333333333333329"/>
    <s v="KM"/>
    <n v="12.28"/>
    <n v="1023.3333333333333"/>
  </r>
  <r>
    <n v="503"/>
    <x v="94"/>
    <x v="15"/>
    <x v="2"/>
    <x v="0"/>
    <x v="1"/>
    <n v="1000238"/>
    <s v="SERV DESP PEDAGIO"/>
    <s v="PEDAGIO FRETE FAZ. SÃO PEDRO X FAZ. SÃO PEDRO"/>
    <m/>
    <x v="25"/>
    <n v="7901"/>
    <n v="371045"/>
    <m/>
    <n v="1"/>
    <s v="UA"/>
    <n v="39.5"/>
    <n v="39.5"/>
  </r>
  <r>
    <n v="504"/>
    <x v="94"/>
    <x v="15"/>
    <x v="0"/>
    <x v="0"/>
    <x v="1"/>
    <n v="1000287"/>
    <s v="SERV FRETE CAMINHAO PRANCHA AGRIC"/>
    <s v="FRETE FAZ. SÃO PEDRO  X  FAZ. SÃO PEDRO"/>
    <n v="7064"/>
    <x v="0"/>
    <s v="0177"/>
    <n v="371045"/>
    <m/>
    <n v="83.333333333333329"/>
    <s v="KM"/>
    <n v="12.28"/>
    <n v="1023.3333333333333"/>
  </r>
  <r>
    <n v="505"/>
    <x v="94"/>
    <x v="15"/>
    <x v="2"/>
    <x v="5"/>
    <x v="1"/>
    <n v="1000238"/>
    <s v="SERV DESP PEDAGIO"/>
    <s v="PEDAGIO FRETE FAZ. SALTO DO LONTRA X FAZ. SANTA ROSA VI"/>
    <m/>
    <x v="25"/>
    <n v="7901"/>
    <n v="371045"/>
    <m/>
    <n v="1"/>
    <s v="UA"/>
    <n v="1458.24"/>
    <n v="1458.24"/>
  </r>
  <r>
    <n v="506"/>
    <x v="94"/>
    <x v="15"/>
    <x v="0"/>
    <x v="5"/>
    <x v="1"/>
    <n v="1000287"/>
    <s v="SERV FRETE CAMINHAO PRANCHA AGRIC"/>
    <s v="FRETE  FRETE FAZ. SALTO DO LONTRA  X  FAZ. SANTA ROSA VI"/>
    <n v="7024"/>
    <x v="39"/>
    <n v="2103"/>
    <n v="371045"/>
    <m/>
    <n v="747"/>
    <s v="KM"/>
    <n v="12.28"/>
    <n v="9173.16"/>
  </r>
  <r>
    <n v="507"/>
    <x v="90"/>
    <x v="15"/>
    <x v="2"/>
    <x v="4"/>
    <x v="1"/>
    <n v="1000238"/>
    <s v="SERV DESP PEDAGIO"/>
    <s v="PEDAGIO FRETE FAZ. SANTO ANTONIO DOS PALMARES X FAZ. SANTA ROSA VI "/>
    <m/>
    <x v="25"/>
    <n v="7901"/>
    <n v="371065"/>
    <m/>
    <n v="1"/>
    <s v="UA"/>
    <n v="961.43"/>
    <n v="961.43"/>
  </r>
  <r>
    <n v="508"/>
    <x v="90"/>
    <x v="15"/>
    <x v="0"/>
    <x v="4"/>
    <x v="1"/>
    <n v="1000287"/>
    <s v="SERV FRETE CAMINHAO PRANCHA AGRIC"/>
    <s v="FRETE  FRETE FAZ. SANTO ANTONIO DOS PALMARES X  FAZ. SANTA ROSA VI "/>
    <n v="7024"/>
    <x v="39"/>
    <n v="2103"/>
    <n v="371065"/>
    <m/>
    <n v="599"/>
    <s v="KM"/>
    <n v="12.28"/>
    <n v="7355.7199999999993"/>
  </r>
  <r>
    <n v="509"/>
    <x v="90"/>
    <x v="15"/>
    <x v="2"/>
    <x v="4"/>
    <x v="1"/>
    <n v="1000238"/>
    <s v="SERV DESP PEDAGIO"/>
    <s v="PEDAGIO FRETE FAZ. SANTO ANTONIO DOS PALMARES X FAZ. SANTA ROSA VI "/>
    <m/>
    <x v="25"/>
    <n v="7901"/>
    <n v="371065"/>
    <m/>
    <n v="1"/>
    <s v="UA"/>
    <n v="961.43"/>
    <n v="961.43"/>
  </r>
  <r>
    <n v="510"/>
    <x v="90"/>
    <x v="15"/>
    <x v="0"/>
    <x v="4"/>
    <x v="1"/>
    <n v="1000287"/>
    <s v="SERV FRETE CAMINHAO PRANCHA AGRIC"/>
    <s v="FRETE  FRETE FAZ. SANTO ANTONIO DOS PALMARES X  FAZ. SANTA ROSA VI "/>
    <n v="7024"/>
    <x v="39"/>
    <n v="2103"/>
    <n v="371065"/>
    <m/>
    <n v="606"/>
    <s v="KM"/>
    <n v="12.28"/>
    <n v="7441.6799999999994"/>
  </r>
  <r>
    <n v="511"/>
    <x v="90"/>
    <x v="15"/>
    <x v="2"/>
    <x v="4"/>
    <x v="1"/>
    <n v="1000238"/>
    <s v="SERV DESP PEDAGIO"/>
    <s v="PEDAGIO FRETE FAZ. SANTO ANTONIO DOS PALMARES X FAZ. SANTA ROSA VI "/>
    <m/>
    <x v="25"/>
    <n v="7901"/>
    <n v="371065"/>
    <m/>
    <n v="1"/>
    <s v="UA"/>
    <n v="961.43"/>
    <n v="961.43"/>
  </r>
  <r>
    <n v="512"/>
    <x v="90"/>
    <x v="15"/>
    <x v="0"/>
    <x v="4"/>
    <x v="1"/>
    <n v="1000287"/>
    <s v="SERV FRETE CAMINHAO PRANCHA AGRIC"/>
    <s v="FRETE  FRETE FAZ. SANTO ANTONIO DOS PALMARES X  FAZ. SANTA ROSA VI "/>
    <n v="7024"/>
    <x v="39"/>
    <n v="2103"/>
    <n v="371065"/>
    <m/>
    <n v="607"/>
    <s v="KM"/>
    <n v="12.28"/>
    <n v="7453.96"/>
  </r>
  <r>
    <m/>
    <x v="95"/>
    <x v="15"/>
    <x v="2"/>
    <x v="4"/>
    <x v="1"/>
    <n v="1000238"/>
    <s v="SERV DESP PEDAGIO"/>
    <s v="PEDAGIO FRETE FAZ. TURVINHO I  X FAZ. GANESI GLEBA B"/>
    <m/>
    <x v="25"/>
    <n v="7901"/>
    <n v="371065"/>
    <m/>
    <n v="1"/>
    <s v="UA"/>
    <n v="292.2"/>
    <n v="292.2"/>
  </r>
  <r>
    <m/>
    <x v="95"/>
    <x v="15"/>
    <x v="0"/>
    <x v="4"/>
    <x v="1"/>
    <n v="1000287"/>
    <s v="SERV FRETE CAMINHAO PRANCHA AGRIC"/>
    <s v="FRETE  FRETE FAZ. TURVINHO I X FAZ. GANESI GLEBA B"/>
    <n v="7007"/>
    <x v="1"/>
    <n v="2422"/>
    <n v="371065"/>
    <m/>
    <n v="327"/>
    <s v="KM"/>
    <n v="12.28"/>
    <n v="4015.56"/>
  </r>
  <r>
    <m/>
    <x v="95"/>
    <x v="15"/>
    <x v="2"/>
    <x v="4"/>
    <x v="1"/>
    <n v="1000238"/>
    <s v="SERV DESP PEDAGIO"/>
    <s v="PEDAGIO FRETE FAZ. TURVINHO I  X FAZ. GANESI GLEBA B"/>
    <m/>
    <x v="25"/>
    <n v="7901"/>
    <n v="371065"/>
    <m/>
    <n v="1"/>
    <s v="UA"/>
    <n v="217.6"/>
    <n v="217.6"/>
  </r>
  <r>
    <m/>
    <x v="95"/>
    <x v="15"/>
    <x v="0"/>
    <x v="4"/>
    <x v="1"/>
    <n v="1000287"/>
    <s v="SERV FRETE CAMINHAO PRANCHA AGRIC"/>
    <s v="FRETE  FRETE FAZ. TURVINHO I X FAZ. GANESI GLEBA B"/>
    <n v="7007"/>
    <x v="1"/>
    <n v="2422"/>
    <n v="371065"/>
    <m/>
    <n v="327"/>
    <s v="KM"/>
    <n v="12.28"/>
    <n v="4015.56"/>
  </r>
  <r>
    <m/>
    <x v="95"/>
    <x v="15"/>
    <x v="2"/>
    <x v="4"/>
    <x v="1"/>
    <n v="1000238"/>
    <s v="SERV DESP PEDAGIO"/>
    <s v="PEDAGIO FRETE FAZ. TURVINHO I  X FAZ. GANESI GLEBA B"/>
    <m/>
    <x v="25"/>
    <n v="7901"/>
    <n v="371065"/>
    <m/>
    <n v="1"/>
    <s v="UA"/>
    <n v="292.2"/>
    <n v="292.2"/>
  </r>
  <r>
    <m/>
    <x v="95"/>
    <x v="15"/>
    <x v="0"/>
    <x v="4"/>
    <x v="1"/>
    <n v="1000287"/>
    <s v="SERV FRETE CAMINHAO PRANCHA AGRIC"/>
    <s v="FRETE  FRETE FAZ. TURVINHO I X FAZ. GANESI GLEBA B"/>
    <n v="7007"/>
    <x v="1"/>
    <n v="2422"/>
    <n v="371065"/>
    <m/>
    <n v="328"/>
    <s v="KM"/>
    <n v="12.28"/>
    <n v="4027.8399999999997"/>
  </r>
  <r>
    <m/>
    <x v="96"/>
    <x v="15"/>
    <x v="2"/>
    <x v="4"/>
    <x v="1"/>
    <n v="1000238"/>
    <s v="SERV DESP PEDAGIO"/>
    <s v="PEDAGIO FRETE FAZ. GANESI GLEBA B X FAZ. SALTO DO LONTRA"/>
    <m/>
    <x v="25"/>
    <n v="7901"/>
    <n v="371065"/>
    <m/>
    <n v="1"/>
    <s v="UA"/>
    <n v="491.21"/>
    <n v="491.21"/>
  </r>
  <r>
    <m/>
    <x v="96"/>
    <x v="15"/>
    <x v="0"/>
    <x v="4"/>
    <x v="1"/>
    <n v="1000287"/>
    <s v="SERV FRETE CAMINHAO PRANCHA AGRIC"/>
    <s v="FRETE  FRETE FAZ. GANESI GLEBA B X FAZ. SALTO DO LONTRA"/>
    <n v="7020"/>
    <x v="13"/>
    <s v="0404"/>
    <n v="371065"/>
    <m/>
    <n v="426"/>
    <s v="KM"/>
    <n v="12.28"/>
    <n v="5231.28"/>
  </r>
  <r>
    <m/>
    <x v="96"/>
    <x v="15"/>
    <x v="2"/>
    <x v="4"/>
    <x v="1"/>
    <n v="1000238"/>
    <s v="SERV DESP PEDAGIO"/>
    <s v="PEDAGIO FRETE FAZ. GANESI GLEBA B X FAZ. SALTO DO LONTRA"/>
    <m/>
    <x v="25"/>
    <n v="7901"/>
    <n v="371065"/>
    <m/>
    <n v="1"/>
    <s v="UA"/>
    <n v="491.21"/>
    <n v="491.21"/>
  </r>
  <r>
    <m/>
    <x v="96"/>
    <x v="15"/>
    <x v="0"/>
    <x v="4"/>
    <x v="1"/>
    <n v="1000287"/>
    <s v="SERV FRETE CAMINHAO PRANCHA AGRIC"/>
    <s v="FRETE  FRETE FAZ. GANESI GLEBA B X FAZ. SALTO DO LONTRA"/>
    <n v="7020"/>
    <x v="13"/>
    <s v="0404"/>
    <n v="371065"/>
    <m/>
    <n v="428"/>
    <s v="KM"/>
    <n v="12.28"/>
    <n v="5255.84"/>
  </r>
  <r>
    <m/>
    <x v="96"/>
    <x v="15"/>
    <x v="2"/>
    <x v="4"/>
    <x v="1"/>
    <n v="1000238"/>
    <s v="SERV DESP PEDAGIO"/>
    <s v="PEDAGIO FRETE FAZ. GANESI GLEBA B X FAZ. SALTO DO LONTRA"/>
    <m/>
    <x v="25"/>
    <n v="7901"/>
    <n v="371065"/>
    <m/>
    <n v="1"/>
    <s v="UA"/>
    <n v="544.61"/>
    <n v="544.61"/>
  </r>
  <r>
    <m/>
    <x v="96"/>
    <x v="15"/>
    <x v="0"/>
    <x v="4"/>
    <x v="1"/>
    <n v="1000287"/>
    <s v="SERV FRETE CAMINHAO PRANCHA AGRIC"/>
    <s v="FRETE  FRETE FAZ. GANESI GLEBA B X FAZ. SALTO DO LONTRA"/>
    <n v="7020"/>
    <x v="13"/>
    <s v="0404"/>
    <n v="371065"/>
    <m/>
    <n v="429"/>
    <s v="KM"/>
    <n v="12.28"/>
    <n v="5268.12"/>
  </r>
  <r>
    <m/>
    <x v="96"/>
    <x v="15"/>
    <x v="2"/>
    <x v="4"/>
    <x v="1"/>
    <n v="1000238"/>
    <s v="SERV DESP PEDAGIO"/>
    <s v="PEDAGIO FRETE  FAZ. GANESI GLEBA B x FAZ. SALTO DO LONTRA"/>
    <m/>
    <x v="25"/>
    <n v="7901"/>
    <n v="371065"/>
    <m/>
    <n v="1"/>
    <s v="UA"/>
    <n v="360.9"/>
    <n v="360.9"/>
  </r>
  <r>
    <m/>
    <x v="96"/>
    <x v="15"/>
    <x v="0"/>
    <x v="4"/>
    <x v="1"/>
    <n v="1000287"/>
    <s v="SERV FRETE CAMINHAO PRANCHA AGRIC"/>
    <s v="FRETE  FRETE FAZ. GANESI GLEBA B x FAZ. SALTO DO LONTRA"/>
    <n v="7020"/>
    <x v="13"/>
    <s v="0404"/>
    <n v="371065"/>
    <m/>
    <n v="425"/>
    <s v="KM"/>
    <n v="12.28"/>
    <n v="5219"/>
  </r>
  <r>
    <m/>
    <x v="97"/>
    <x v="15"/>
    <x v="2"/>
    <x v="0"/>
    <x v="1"/>
    <n v="1000238"/>
    <s v="SERV DESP PEDAGIO"/>
    <s v="PEDAGIO FRETE FAZ. IPE II x FAZ. PALMEIRAS"/>
    <m/>
    <x v="25"/>
    <n v="7901"/>
    <n v="371094"/>
    <m/>
    <n v="1"/>
    <s v="UA"/>
    <n v="574.79999999999995"/>
    <n v="574.79999999999995"/>
  </r>
  <r>
    <m/>
    <x v="97"/>
    <x v="15"/>
    <x v="0"/>
    <x v="0"/>
    <x v="1"/>
    <n v="1000287"/>
    <s v="SERV FRETE CAMINHAO PRANCHA AGRIC"/>
    <s v="FRETE  FRETE FAZ. IPE II x FAZ. PALMEIRAS"/>
    <n v="7024"/>
    <x v="39"/>
    <s v="0938"/>
    <n v="371094"/>
    <m/>
    <n v="578"/>
    <s v="KM"/>
    <n v="12.28"/>
    <n v="7097.8399999999992"/>
  </r>
  <r>
    <m/>
    <x v="97"/>
    <x v="15"/>
    <x v="2"/>
    <x v="0"/>
    <x v="1"/>
    <n v="1000238"/>
    <s v="SERV DESP PEDAGIO"/>
    <s v="PEDAGIO FRETE FAZ. IPE II x FAZ. PALMEIRAS"/>
    <m/>
    <x v="25"/>
    <n v="7901"/>
    <n v="371094"/>
    <m/>
    <n v="1"/>
    <s v="UA"/>
    <n v="805.2"/>
    <n v="805.2"/>
  </r>
  <r>
    <m/>
    <x v="97"/>
    <x v="15"/>
    <x v="0"/>
    <x v="0"/>
    <x v="1"/>
    <n v="1000287"/>
    <s v="SERV FRETE CAMINHAO PRANCHA AGRIC"/>
    <s v="FRETE  FRETE FAZ. IPE II x FAZ. PALMEIRAS"/>
    <n v="7024"/>
    <x v="39"/>
    <s v="0938"/>
    <n v="371094"/>
    <m/>
    <n v="619"/>
    <s v="KM"/>
    <n v="12.28"/>
    <n v="7601.32"/>
  </r>
  <r>
    <m/>
    <x v="97"/>
    <x v="15"/>
    <x v="2"/>
    <x v="0"/>
    <x v="1"/>
    <n v="1000238"/>
    <s v="SERV DESP PEDAGIO"/>
    <s v="PEDAGIO FRETE FAZ. IPE II x FAZ. PALMEIRAS"/>
    <m/>
    <x v="25"/>
    <n v="7901"/>
    <n v="371094"/>
    <m/>
    <n v="1"/>
    <s v="UA"/>
    <n v="805.2"/>
    <n v="805.2"/>
  </r>
  <r>
    <m/>
    <x v="97"/>
    <x v="15"/>
    <x v="0"/>
    <x v="0"/>
    <x v="1"/>
    <n v="1000287"/>
    <s v="SERV FRETE CAMINHAO PRANCHA AGRIC"/>
    <s v="FRETE  FRETE FAZ. IPE II x FAZ. PALMEIRAS"/>
    <n v="7024"/>
    <x v="39"/>
    <s v="0938"/>
    <n v="371094"/>
    <m/>
    <n v="623"/>
    <s v="KM"/>
    <n v="12.28"/>
    <n v="7650.44"/>
  </r>
  <r>
    <m/>
    <x v="98"/>
    <x v="15"/>
    <x v="2"/>
    <x v="5"/>
    <x v="1"/>
    <n v="1000238"/>
    <s v="SERV DESP PEDAGIO"/>
    <s v="PEDAGIO FRETE  LENCOIS CAT x FAZ. SANTA TEREZINHA IV"/>
    <m/>
    <x v="25"/>
    <n v="7901"/>
    <n v="371045"/>
    <m/>
    <n v="1"/>
    <s v="UA"/>
    <n v="181.3"/>
    <n v="181.3"/>
  </r>
  <r>
    <m/>
    <x v="98"/>
    <x v="15"/>
    <x v="0"/>
    <x v="5"/>
    <x v="1"/>
    <n v="1000287"/>
    <s v="SERV FRETE CAMINHAO PRANCHA AGRIC"/>
    <s v="FRETE  FRETE  LENCOIS CAT x FAZ. SANTA TEREZINHA IV"/>
    <n v="4007"/>
    <x v="1"/>
    <s v="0421"/>
    <n v="371045"/>
    <m/>
    <n v="125"/>
    <s v="KM"/>
    <n v="12.28"/>
    <n v="1535"/>
  </r>
  <r>
    <m/>
    <x v="98"/>
    <x v="15"/>
    <x v="2"/>
    <x v="5"/>
    <x v="1"/>
    <n v="1000238"/>
    <s v="SERV DESP PEDAGIO"/>
    <s v="PEDAGIO FRETE FAZ. SANTA TEREZINHA IV x LENCOIS CAT"/>
    <m/>
    <x v="25"/>
    <n v="7901"/>
    <n v="371045"/>
    <m/>
    <n v="1"/>
    <s v="UA"/>
    <n v="181.3"/>
    <n v="181.3"/>
  </r>
  <r>
    <m/>
    <x v="98"/>
    <x v="15"/>
    <x v="0"/>
    <x v="5"/>
    <x v="1"/>
    <n v="1000287"/>
    <s v="SERV FRETE CAMINHAO PRANCHA AGRIC"/>
    <s v="FRETE  FRETE  FAZ. SANTA TEREZINHA IV x LENCOIS CAT"/>
    <m/>
    <x v="25"/>
    <n v="7901"/>
    <n v="371045"/>
    <m/>
    <n v="125"/>
    <s v="KM"/>
    <n v="12.28"/>
    <n v="1535"/>
  </r>
  <r>
    <m/>
    <x v="76"/>
    <x v="9"/>
    <x v="9"/>
    <x v="5"/>
    <x v="6"/>
    <s v="0200111"/>
    <s v="SERV CONFECCAO DE ADESIVOS"/>
    <s v="ADESIVO DE FROTA 37X12 cm  RECORTE PRETO VINIL"/>
    <s v="-"/>
    <x v="25"/>
    <n v="7901"/>
    <n v="371045"/>
    <n v="10792042"/>
    <n v="14"/>
    <s v="UA"/>
    <n v="14"/>
    <n v="196"/>
  </r>
  <r>
    <m/>
    <x v="76"/>
    <x v="9"/>
    <x v="9"/>
    <x v="8"/>
    <x v="6"/>
    <s v="0200111"/>
    <s v="SERV CONFECCAO DE ADESIVOS"/>
    <s v="QUADROS DE Acm, Branco com laminação para escritas, 70x50cm personalizado -pc"/>
    <m/>
    <x v="25"/>
    <n v="7901"/>
    <n v="371068"/>
    <m/>
    <n v="1"/>
    <s v="UA"/>
    <n v="155"/>
    <n v="155"/>
  </r>
  <r>
    <m/>
    <x v="99"/>
    <x v="7"/>
    <x v="9"/>
    <x v="8"/>
    <x v="6"/>
    <s v="0200111"/>
    <s v="SERV CONFECCAO DE ADESIVOS"/>
    <s v="BANNER EM LONA - SEGURANÇA -PADRÃO BRACELL "/>
    <m/>
    <x v="25"/>
    <n v="7901"/>
    <n v="371068"/>
    <m/>
    <n v="2"/>
    <s v="UA"/>
    <n v="177"/>
    <n v="354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20"/>
    <s v="UA"/>
    <n v="13"/>
    <n v="260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36"/>
    <s v="UA"/>
    <n v="5"/>
    <n v="180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6"/>
    <s v="UA"/>
    <n v="3.5"/>
    <n v="21"/>
  </r>
  <r>
    <m/>
    <x v="99"/>
    <x v="7"/>
    <x v="9"/>
    <x v="8"/>
    <x v="6"/>
    <s v="0200111"/>
    <s v="SERV CONFECCAO DE ADESIVOS"/>
    <s v="PLACA EM ACM INDICATIVA DE ADVERTENCIA"/>
    <m/>
    <x v="25"/>
    <n v="7901"/>
    <n v="371068"/>
    <m/>
    <n v="4"/>
    <s v="UA"/>
    <n v="127"/>
    <n v="508"/>
  </r>
  <r>
    <m/>
    <x v="99"/>
    <x v="7"/>
    <x v="9"/>
    <x v="8"/>
    <x v="6"/>
    <s v="0200111"/>
    <s v="SERV CONFECCAO DE ADESIVOS"/>
    <s v="PLACA EM ACM INDICATIVA DE ADVERTENCIA"/>
    <m/>
    <x v="25"/>
    <n v="7901"/>
    <n v="371068"/>
    <m/>
    <n v="4"/>
    <s v="UA"/>
    <n v="127"/>
    <n v="508"/>
  </r>
  <r>
    <m/>
    <x v="99"/>
    <x v="7"/>
    <x v="9"/>
    <x v="8"/>
    <x v="6"/>
    <s v="0200111"/>
    <s v="SERV CONFECCAO DE ADESIVOS"/>
    <s v="PLACA EM ACM INDICATIVA DE ADVERTENCIA"/>
    <m/>
    <x v="25"/>
    <n v="7901"/>
    <n v="371068"/>
    <m/>
    <n v="4"/>
    <s v="UA"/>
    <n v="127"/>
    <n v="508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10"/>
    <s v="UA"/>
    <n v="8.5"/>
    <n v="85"/>
  </r>
  <r>
    <m/>
    <x v="99"/>
    <x v="7"/>
    <x v="9"/>
    <x v="8"/>
    <x v="6"/>
    <s v="0200111"/>
    <s v="SERV CONFECCAO DE ADESIVOS"/>
    <s v="PLACA EM ACM INDICATIVA DE ADVERTENCIA"/>
    <m/>
    <x v="25"/>
    <n v="7901"/>
    <n v="371068"/>
    <m/>
    <n v="4"/>
    <s v="UA"/>
    <n v="127"/>
    <n v="508"/>
  </r>
  <r>
    <m/>
    <x v="99"/>
    <x v="7"/>
    <x v="9"/>
    <x v="8"/>
    <x v="6"/>
    <s v="0200111"/>
    <s v="SERV CONFECCAO DE ADESIVOS"/>
    <s v="PLACA DE SINALIZACAO ADVERTENCIA"/>
    <m/>
    <x v="25"/>
    <n v="7901"/>
    <n v="371068"/>
    <m/>
    <n v="10"/>
    <s v="UA"/>
    <n v="67"/>
    <n v="670"/>
  </r>
  <r>
    <m/>
    <x v="99"/>
    <x v="7"/>
    <x v="9"/>
    <x v="8"/>
    <x v="6"/>
    <s v="0200111"/>
    <s v="SERV CONFECCAO DE ADESIVOS"/>
    <s v="PLACA DE SINALIZACAO SEGURANÇA "/>
    <m/>
    <x v="25"/>
    <n v="7901"/>
    <n v="371068"/>
    <m/>
    <n v="4"/>
    <s v="UA"/>
    <n v="47"/>
    <n v="188"/>
  </r>
  <r>
    <m/>
    <x v="99"/>
    <x v="7"/>
    <x v="9"/>
    <x v="8"/>
    <x v="6"/>
    <s v="0200111"/>
    <s v="SERV CONFECCAO DE ADESIVOS"/>
    <s v="PLACA EM PVC "/>
    <m/>
    <x v="25"/>
    <n v="7901"/>
    <n v="371068"/>
    <m/>
    <n v="10"/>
    <s v="UA"/>
    <n v="36"/>
    <n v="360"/>
  </r>
  <r>
    <m/>
    <x v="99"/>
    <x v="7"/>
    <x v="9"/>
    <x v="8"/>
    <x v="6"/>
    <s v="0200111"/>
    <s v="SERV CONFECCAO DE ADESIVOS"/>
    <s v="PLACA SEGURANÇA EM ACM "/>
    <m/>
    <x v="25"/>
    <n v="7901"/>
    <n v="371068"/>
    <m/>
    <n v="1"/>
    <s v="UA"/>
    <n v="67"/>
    <n v="67"/>
  </r>
  <r>
    <m/>
    <x v="99"/>
    <x v="7"/>
    <x v="9"/>
    <x v="8"/>
    <x v="6"/>
    <s v="0200111"/>
    <s v="SERV CONFECCAO DE ADESIVOS"/>
    <s v="PLACA SINALIZAÇÃO "/>
    <m/>
    <x v="25"/>
    <n v="7901"/>
    <n v="371068"/>
    <m/>
    <n v="15"/>
    <s v="UA"/>
    <n v="14.4"/>
    <n v="216"/>
  </r>
  <r>
    <m/>
    <x v="99"/>
    <x v="7"/>
    <x v="9"/>
    <x v="8"/>
    <x v="6"/>
    <s v="0200111"/>
    <s v="SERV CONFECCAO DE ADESIVOS"/>
    <s v="ADESIVO PADRÃO AUTOMOTIVO"/>
    <m/>
    <x v="25"/>
    <n v="7901"/>
    <n v="371068"/>
    <m/>
    <n v="4"/>
    <s v="UA"/>
    <n v="11.5"/>
    <n v="46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4"/>
    <s v="UA"/>
    <n v="30"/>
    <n v="120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2"/>
    <s v="UA"/>
    <n v="67"/>
    <n v="134"/>
  </r>
  <r>
    <m/>
    <x v="99"/>
    <x v="7"/>
    <x v="9"/>
    <x v="8"/>
    <x v="6"/>
    <s v="0200111"/>
    <s v="SERV CONFECCAO DE ADESIVOS"/>
    <s v="PLACA SINALIZAÇÃO "/>
    <m/>
    <x v="25"/>
    <n v="7901"/>
    <n v="371068"/>
    <m/>
    <n v="2"/>
    <s v="UA"/>
    <n v="67"/>
    <n v="134"/>
  </r>
  <r>
    <m/>
    <x v="99"/>
    <x v="7"/>
    <x v="9"/>
    <x v="8"/>
    <x v="6"/>
    <s v="0200111"/>
    <s v="SERV CONFECCAO DE ADESIVOS"/>
    <s v="PLACA SINALIZAÇÃO "/>
    <m/>
    <x v="25"/>
    <n v="7901"/>
    <n v="371068"/>
    <m/>
    <n v="2"/>
    <s v="UA"/>
    <n v="67"/>
    <n v="134"/>
  </r>
  <r>
    <m/>
    <x v="99"/>
    <x v="7"/>
    <x v="9"/>
    <x v="8"/>
    <x v="6"/>
    <s v="0200111"/>
    <s v="SERV CONFECCAO DE ADESIVOS"/>
    <s v="PLACA SINALIZAÇÃO "/>
    <m/>
    <x v="25"/>
    <n v="7901"/>
    <n v="371068"/>
    <m/>
    <n v="2"/>
    <s v="UA"/>
    <n v="67"/>
    <n v="134"/>
  </r>
  <r>
    <m/>
    <x v="99"/>
    <x v="7"/>
    <x v="9"/>
    <x v="8"/>
    <x v="6"/>
    <s v="0200111"/>
    <s v="SERV CONFECCAO DE ADESIVOS"/>
    <s v="PLACA SINALIZAÇÃO "/>
    <m/>
    <x v="25"/>
    <n v="7901"/>
    <n v="371068"/>
    <m/>
    <n v="2"/>
    <s v="UA"/>
    <n v="67"/>
    <n v="134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4"/>
    <s v="UA"/>
    <n v="5"/>
    <n v="20"/>
  </r>
  <r>
    <m/>
    <x v="99"/>
    <x v="7"/>
    <x v="9"/>
    <x v="8"/>
    <x v="6"/>
    <s v="0200111"/>
    <s v="SERV CONFECCAO DE ADESIVOS"/>
    <s v="PLACA SINALIZAÇÃO "/>
    <m/>
    <x v="25"/>
    <n v="7901"/>
    <n v="371068"/>
    <m/>
    <n v="1"/>
    <s v="UA"/>
    <n v="36"/>
    <n v="36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2"/>
    <s v="UA"/>
    <n v="10"/>
    <n v="20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2"/>
    <s v="UA"/>
    <n v="10"/>
    <n v="20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6"/>
    <s v="UA"/>
    <n v="10"/>
    <n v="60"/>
  </r>
  <r>
    <m/>
    <x v="99"/>
    <x v="7"/>
    <x v="9"/>
    <x v="8"/>
    <x v="6"/>
    <s v="0200111"/>
    <s v="SERV CONFECCAO DE ADESIVOS"/>
    <s v="CAVALETES CONFEC. EM CHAPA DE AÇO "/>
    <m/>
    <x v="25"/>
    <n v="7901"/>
    <n v="371068"/>
    <m/>
    <n v="6"/>
    <s v="UA"/>
    <n v="278"/>
    <n v="1668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3"/>
    <s v="UA"/>
    <n v="13"/>
    <n v="39"/>
  </r>
  <r>
    <m/>
    <x v="99"/>
    <x v="7"/>
    <x v="9"/>
    <x v="8"/>
    <x v="6"/>
    <s v="0200111"/>
    <s v="SERV CONFECCAO DE ADESIVOS"/>
    <s v="ADESIVO EM IMPRESSAO DIGITAL"/>
    <m/>
    <x v="25"/>
    <n v="7901"/>
    <n v="371068"/>
    <m/>
    <n v="40"/>
    <s v="UA"/>
    <n v="7.88"/>
    <n v="315.2"/>
  </r>
  <r>
    <m/>
    <x v="99"/>
    <x v="7"/>
    <x v="9"/>
    <x v="8"/>
    <x v="6"/>
    <s v="0200111"/>
    <s v="SERV CONFECCAO DE ADESIVOS"/>
    <s v="ADESIVO RECORTE AZUL- LOGO BRACELL"/>
    <m/>
    <x v="25"/>
    <n v="7901"/>
    <n v="371068"/>
    <m/>
    <n v="12"/>
    <s v="UA"/>
    <n v="7.95"/>
    <n v="95.4"/>
  </r>
  <r>
    <m/>
    <x v="99"/>
    <x v="7"/>
    <x v="9"/>
    <x v="8"/>
    <x v="6"/>
    <s v="0200111"/>
    <s v="SERV CONFECCAO DE ADESIVOS"/>
    <s v="ADESIVOS NUMERAÇÃO DE FROTAS DOS IMPLEMENTOS "/>
    <m/>
    <x v="25"/>
    <n v="7901"/>
    <n v="371068"/>
    <m/>
    <n v="9"/>
    <s v="UA"/>
    <n v="14.9"/>
    <n v="134.1"/>
  </r>
  <r>
    <m/>
    <x v="99"/>
    <x v="16"/>
    <x v="9"/>
    <x v="8"/>
    <x v="6"/>
    <s v="0200111"/>
    <s v="SERV CONFECCAO DE ADESIVOS"/>
    <s v="ADESIVO LOGO BRACELL P/ CAÇAMBA"/>
    <m/>
    <x v="25"/>
    <n v="7901"/>
    <n v="371068"/>
    <m/>
    <n v="8"/>
    <s v="UA"/>
    <n v="117"/>
    <n v="936"/>
  </r>
  <r>
    <m/>
    <x v="100"/>
    <x v="9"/>
    <x v="9"/>
    <x v="5"/>
    <x v="6"/>
    <s v="0200111"/>
    <s v="SERV CONFECCAO DE ADESIVOS"/>
    <s v="BANNER EM LONA - SEGURANÇA -PADRÃO BRACELL -ACABAMENTO BASTÃO CORDA E PONTEIRA"/>
    <m/>
    <x v="25"/>
    <n v="7901"/>
    <n v="371045"/>
    <m/>
    <n v="1"/>
    <s v="UA"/>
    <n v="130"/>
    <n v="130"/>
  </r>
  <r>
    <m/>
    <x v="100"/>
    <x v="9"/>
    <x v="9"/>
    <x v="5"/>
    <x v="6"/>
    <s v="0200111"/>
    <s v="SERV CONFECCAO DE ADESIVOS"/>
    <s v="PLACA DE SINALIZAÇÃO "/>
    <m/>
    <x v="25"/>
    <n v="7901"/>
    <n v="371045"/>
    <m/>
    <n v="1"/>
    <s v="UA"/>
    <n v="127"/>
    <n v="127"/>
  </r>
  <r>
    <m/>
    <x v="81"/>
    <x v="9"/>
    <x v="9"/>
    <x v="2"/>
    <x v="6"/>
    <s v="0200111"/>
    <s v="SERV CONFECCAO DE ADESIVOS"/>
    <s v="CAVALETE INDICATIVO- APLICAÇÃO AGROTÓXICOS "/>
    <m/>
    <x v="25"/>
    <n v="7901"/>
    <n v="371075"/>
    <m/>
    <n v="4"/>
    <s v="UA"/>
    <n v="278"/>
    <n v="1112"/>
  </r>
  <r>
    <m/>
    <x v="81"/>
    <x v="9"/>
    <x v="9"/>
    <x v="2"/>
    <x v="6"/>
    <s v="0200111"/>
    <s v="SERV CONFECCAO DE ADESIVOS"/>
    <s v="ADESIVO EM IMPRESSAO DIGITAL"/>
    <m/>
    <x v="25"/>
    <n v="7901"/>
    <n v="371075"/>
    <m/>
    <n v="2"/>
    <s v="UA"/>
    <n v="9"/>
    <n v="18"/>
  </r>
  <r>
    <m/>
    <x v="101"/>
    <x v="15"/>
    <x v="9"/>
    <x v="3"/>
    <x v="6"/>
    <s v="0200111"/>
    <s v="SERV CONFECCAO DE ADESIVOS"/>
    <s v="PLACA EM ACM - INDICATIVA/ ADVERTÊNCIA "/>
    <m/>
    <x v="25"/>
    <n v="7901"/>
    <n v="371055"/>
    <m/>
    <n v="2"/>
    <s v="UA"/>
    <n v="127"/>
    <n v="254"/>
  </r>
  <r>
    <m/>
    <x v="101"/>
    <x v="15"/>
    <x v="9"/>
    <x v="3"/>
    <x v="6"/>
    <s v="0200111"/>
    <s v="SERV CONFECCAO DE ADESIVOS"/>
    <s v="PLACA EM ACM - INDICATIVA/ ADVERTÊNCIA "/>
    <m/>
    <x v="25"/>
    <n v="7901"/>
    <n v="371055"/>
    <m/>
    <n v="2"/>
    <s v="UA"/>
    <n v="127"/>
    <n v="254"/>
  </r>
  <r>
    <m/>
    <x v="101"/>
    <x v="15"/>
    <x v="9"/>
    <x v="3"/>
    <x v="6"/>
    <s v="0200111"/>
    <s v="SERV CONFECCAO DE ADESIVOS"/>
    <s v="PLACA EM ACM - INDICATIVA/ ADVERTÊNCIA "/>
    <m/>
    <x v="25"/>
    <n v="7901"/>
    <n v="371055"/>
    <m/>
    <n v="2"/>
    <s v="UA"/>
    <n v="127"/>
    <n v="254"/>
  </r>
  <r>
    <m/>
    <x v="101"/>
    <x v="15"/>
    <x v="9"/>
    <x v="3"/>
    <x v="6"/>
    <s v="0200111"/>
    <s v="SERV CONFECCAO DE ADESIVOS"/>
    <s v="PLACA EM ACM - INDICATIVA/ ADVERTÊNCIA "/>
    <m/>
    <x v="25"/>
    <n v="7901"/>
    <n v="371055"/>
    <m/>
    <n v="3"/>
    <s v="UA"/>
    <n v="127"/>
    <n v="381"/>
  </r>
  <r>
    <m/>
    <x v="101"/>
    <x v="15"/>
    <x v="9"/>
    <x v="3"/>
    <x v="6"/>
    <s v="0200111"/>
    <s v="SERV CONFECCAO DE ADESIVOS"/>
    <s v="PLACA EM ACM - INDICATIVA/ ADVERTÊNCIA "/>
    <m/>
    <x v="25"/>
    <n v="7901"/>
    <n v="371055"/>
    <m/>
    <n v="2"/>
    <s v="UA"/>
    <n v="127"/>
    <n v="254"/>
  </r>
  <r>
    <m/>
    <x v="101"/>
    <x v="15"/>
    <x v="9"/>
    <x v="3"/>
    <x v="6"/>
    <s v="0200111"/>
    <s v="SERV CONFECCAO DE ADESIVOS"/>
    <s v="CAVALETE INDICATIVO- APLICAÇÃO AGROTÓXICOS "/>
    <m/>
    <x v="25"/>
    <n v="7901"/>
    <n v="371055"/>
    <m/>
    <n v="2"/>
    <s v="UA"/>
    <n v="278"/>
    <n v="556"/>
  </r>
  <r>
    <m/>
    <x v="101"/>
    <x v="15"/>
    <x v="9"/>
    <x v="3"/>
    <x v="6"/>
    <s v="0200111"/>
    <s v="SERV CONFECCAO DE ADESIVOS"/>
    <s v="PLACA DE SINALIZAÇÃO ADVERTÊNCIA- ÁREA DE VIVÊNCIA "/>
    <m/>
    <x v="25"/>
    <n v="7901"/>
    <n v="371055"/>
    <m/>
    <n v="2"/>
    <s v="UA"/>
    <n v="278"/>
    <n v="556"/>
  </r>
  <r>
    <m/>
    <x v="101"/>
    <x v="15"/>
    <x v="9"/>
    <x v="3"/>
    <x v="6"/>
    <s v="0200111"/>
    <s v="SERV CONFECCAO DE ADESIVOS"/>
    <s v="CAVALETES EM METALON "/>
    <m/>
    <x v="25"/>
    <n v="7901"/>
    <n v="371055"/>
    <m/>
    <n v="2"/>
    <s v="UA"/>
    <n v="317"/>
    <n v="634"/>
  </r>
  <r>
    <m/>
    <x v="101"/>
    <x v="15"/>
    <x v="9"/>
    <x v="3"/>
    <x v="6"/>
    <s v="0200111"/>
    <s v="SERV CONFECCAO DE ADESIVOS"/>
    <s v="CAVALETES CONFEC. EM CHAPA DE AÇO "/>
    <m/>
    <x v="25"/>
    <n v="7901"/>
    <n v="371055"/>
    <m/>
    <n v="2"/>
    <s v="UA"/>
    <n v="278"/>
    <n v="556"/>
  </r>
  <r>
    <m/>
    <x v="101"/>
    <x v="15"/>
    <x v="9"/>
    <x v="3"/>
    <x v="6"/>
    <s v="0200111"/>
    <s v="SERV CONFECCAO DE ADESIVOS"/>
    <s v="PLACA DE SINALIZAÇÃO - ADVERTÊNCIA "/>
    <m/>
    <x v="25"/>
    <n v="7901"/>
    <n v="371055"/>
    <m/>
    <n v="2"/>
    <s v="UA"/>
    <n v="278"/>
    <n v="556"/>
  </r>
  <r>
    <m/>
    <x v="101"/>
    <x v="15"/>
    <x v="9"/>
    <x v="3"/>
    <x v="6"/>
    <s v="0200111"/>
    <s v="SERV CONFECCAO DE ADESIVOS"/>
    <s v="QUADRO DE GESTÃO A VISTA EM ACM"/>
    <m/>
    <x v="25"/>
    <n v="7901"/>
    <n v="371055"/>
    <m/>
    <n v="3"/>
    <s v="UA"/>
    <n v="377"/>
    <n v="1131"/>
  </r>
  <r>
    <m/>
    <x v="101"/>
    <x v="15"/>
    <x v="9"/>
    <x v="3"/>
    <x v="6"/>
    <s v="0200111"/>
    <s v="SERV CONFECCAO DE ADESIVOS"/>
    <s v="CAVALETES EM METALON "/>
    <m/>
    <x v="25"/>
    <n v="7901"/>
    <n v="371055"/>
    <m/>
    <n v="2"/>
    <s v="UA"/>
    <n v="317"/>
    <n v="634"/>
  </r>
  <r>
    <m/>
    <x v="101"/>
    <x v="15"/>
    <x v="9"/>
    <x v="3"/>
    <x v="6"/>
    <s v="0200111"/>
    <s v="SERV CONFECCAO DE ADESIVOS"/>
    <s v="CAVALETES CONFEC. EM CHAPA DE AÇO "/>
    <m/>
    <x v="25"/>
    <n v="7901"/>
    <n v="371055"/>
    <m/>
    <n v="2"/>
    <s v="UA"/>
    <n v="278"/>
    <n v="556"/>
  </r>
  <r>
    <m/>
    <x v="102"/>
    <x v="15"/>
    <x v="9"/>
    <x v="10"/>
    <x v="6"/>
    <s v="0200111"/>
    <s v="SERV CONFECCAO DE ADESIVOS"/>
    <s v="ADESIVO DE FROTA 37X12 cm  RECORTE PRETO VINIL"/>
    <m/>
    <x v="25"/>
    <n v="7901"/>
    <n v="375030"/>
    <m/>
    <n v="10"/>
    <s v="UA"/>
    <n v="14"/>
    <n v="140"/>
  </r>
  <r>
    <m/>
    <x v="102"/>
    <x v="15"/>
    <x v="9"/>
    <x v="5"/>
    <x v="6"/>
    <s v="0200111"/>
    <s v="SERV CONFECCAO DE ADESIVOS"/>
    <s v="CAIXA PARA RESIDUOS"/>
    <m/>
    <x v="25"/>
    <n v="7901"/>
    <n v="371045"/>
    <m/>
    <n v="1"/>
    <s v="UA"/>
    <n v="238"/>
    <n v="238"/>
  </r>
  <r>
    <m/>
    <x v="102"/>
    <x v="15"/>
    <x v="9"/>
    <x v="5"/>
    <x v="6"/>
    <s v="0200111"/>
    <s v="SERV CONFECCAO DE ADESIVOS"/>
    <s v="IMOBILIZADOR DE CABECA HEAD BLOCK"/>
    <m/>
    <x v="25"/>
    <n v="7901"/>
    <n v="371045"/>
    <m/>
    <n v="1"/>
    <s v="UA"/>
    <n v="320"/>
    <n v="320"/>
  </r>
  <r>
    <m/>
    <x v="103"/>
    <x v="15"/>
    <x v="9"/>
    <x v="4"/>
    <x v="6"/>
    <s v="0200111"/>
    <s v="SERV CONFECCAO DE ADESIVOS"/>
    <s v="ADESIVO EM IMPRESSAO DIGITAL"/>
    <m/>
    <x v="25"/>
    <n v="7901"/>
    <n v="371065"/>
    <m/>
    <n v="1"/>
    <s v="UA"/>
    <n v="30"/>
    <n v="30"/>
  </r>
  <r>
    <m/>
    <x v="103"/>
    <x v="15"/>
    <x v="9"/>
    <x v="4"/>
    <x v="6"/>
    <s v="0200111"/>
    <s v="SERV CONFECCAO DE ADESIVOS"/>
    <s v="ADESIVO ABELHA "/>
    <m/>
    <x v="25"/>
    <n v="7901"/>
    <n v="371065"/>
    <m/>
    <n v="1"/>
    <s v="UA"/>
    <n v="30"/>
    <n v="30"/>
  </r>
  <r>
    <m/>
    <x v="103"/>
    <x v="15"/>
    <x v="9"/>
    <x v="4"/>
    <x v="6"/>
    <s v="0200111"/>
    <s v="SERV CONFECCAO DE ADESIVOS"/>
    <s v="ADESIVO EM IMPRESSAO DIGITAL"/>
    <m/>
    <x v="25"/>
    <n v="7901"/>
    <n v="371065"/>
    <m/>
    <n v="1"/>
    <s v="UA"/>
    <n v="30"/>
    <n v="30"/>
  </r>
  <r>
    <m/>
    <x v="103"/>
    <x v="15"/>
    <x v="9"/>
    <x v="4"/>
    <x v="6"/>
    <s v="0200111"/>
    <s v="SERV CONFECCAO DE ADESIVOS"/>
    <s v="ADESIVO DE EXTINTORES EM VINIL"/>
    <m/>
    <x v="25"/>
    <n v="7901"/>
    <n v="371065"/>
    <m/>
    <n v="1"/>
    <s v="UA"/>
    <n v="14.9"/>
    <n v="14.9"/>
  </r>
  <r>
    <m/>
    <x v="103"/>
    <x v="15"/>
    <x v="9"/>
    <x v="4"/>
    <x v="6"/>
    <s v="0200111"/>
    <s v="SERV CONFECCAO DE ADESIVOS"/>
    <s v="ADESIVOS/ PS- CHAPA - MODELOS DIVERSOS "/>
    <m/>
    <x v="25"/>
    <n v="7901"/>
    <n v="371065"/>
    <m/>
    <n v="1"/>
    <s v="UA"/>
    <n v="30"/>
    <n v="30"/>
  </r>
  <r>
    <m/>
    <x v="103"/>
    <x v="15"/>
    <x v="9"/>
    <x v="4"/>
    <x v="6"/>
    <s v="0200111"/>
    <s v="SERV CONFECCAO DE ADESIVOS"/>
    <s v="ADESIVO PADRÃO BRACELL FLORESTAL "/>
    <m/>
    <x v="25"/>
    <n v="7901"/>
    <n v="371065"/>
    <m/>
    <n v="1"/>
    <s v="UA"/>
    <n v="3.5"/>
    <n v="3.5"/>
  </r>
  <r>
    <m/>
    <x v="103"/>
    <x v="15"/>
    <x v="9"/>
    <x v="4"/>
    <x v="6"/>
    <s v="0200111"/>
    <s v="SERV CONFECCAO DE ADESIVOS"/>
    <s v="ADESIVO DEGRAU"/>
    <m/>
    <x v="25"/>
    <n v="7901"/>
    <n v="371065"/>
    <m/>
    <n v="5"/>
    <s v="UA"/>
    <n v="12"/>
    <n v="60"/>
  </r>
  <r>
    <m/>
    <x v="103"/>
    <x v="15"/>
    <x v="9"/>
    <x v="4"/>
    <x v="6"/>
    <s v="0200111"/>
    <s v="SERV CONFECCAO DE ADESIVOS"/>
    <s v="ADESIVOS/ PS- CHAPA - MODELOS DIVERSOS "/>
    <m/>
    <x v="25"/>
    <n v="7901"/>
    <n v="371065"/>
    <m/>
    <n v="1"/>
    <s v="UA"/>
    <n v="30"/>
    <n v="30"/>
  </r>
  <r>
    <m/>
    <x v="103"/>
    <x v="15"/>
    <x v="9"/>
    <x v="4"/>
    <x v="6"/>
    <s v="0200111"/>
    <s v="SERV CONFECCAO DE ADESIVOS"/>
    <s v="ADESIVO RECORTE AZUL- LOGO BRACELL"/>
    <m/>
    <x v="25"/>
    <n v="7901"/>
    <n v="371065"/>
    <m/>
    <n v="2"/>
    <s v="UA"/>
    <n v="7.95"/>
    <n v="15.9"/>
  </r>
  <r>
    <m/>
    <x v="103"/>
    <x v="15"/>
    <x v="9"/>
    <x v="4"/>
    <x v="6"/>
    <s v="0200111"/>
    <s v="SERV CONFECCAO DE ADESIVOS"/>
    <s v="ADESIVO EM IMPRESSAO DIGITAL"/>
    <m/>
    <x v="25"/>
    <n v="7901"/>
    <n v="371065"/>
    <m/>
    <n v="1"/>
    <s v="UA"/>
    <n v="520"/>
    <n v="520"/>
  </r>
  <r>
    <m/>
    <x v="103"/>
    <x v="15"/>
    <x v="9"/>
    <x v="4"/>
    <x v="6"/>
    <s v="0200111"/>
    <s v="SERV CONFECCAO DE ADESIVOS"/>
    <s v="PLACA EM ACM- INDICATIVA / ADVERTÊNCIA "/>
    <m/>
    <x v="25"/>
    <n v="7901"/>
    <n v="371065"/>
    <m/>
    <n v="1"/>
    <s v="UA"/>
    <n v="127"/>
    <n v="127"/>
  </r>
  <r>
    <m/>
    <x v="103"/>
    <x v="15"/>
    <x v="9"/>
    <x v="4"/>
    <x v="6"/>
    <s v="0200111"/>
    <s v="SERV CONFECCAO DE ADESIVOS"/>
    <s v="PLACA EM ACM- INDICATIVA / ADVERTÊNCIA "/>
    <m/>
    <x v="25"/>
    <n v="7901"/>
    <n v="371065"/>
    <m/>
    <n v="1"/>
    <s v="UA"/>
    <n v="127"/>
    <n v="127"/>
  </r>
  <r>
    <m/>
    <x v="103"/>
    <x v="15"/>
    <x v="9"/>
    <x v="4"/>
    <x v="6"/>
    <s v="0200111"/>
    <s v="SERV CONFECCAO DE ADESIVOS"/>
    <s v="CAVALETES CONFEC. EM CHAPA DE AÇO "/>
    <m/>
    <x v="25"/>
    <n v="7901"/>
    <n v="371065"/>
    <m/>
    <n v="3"/>
    <s v="UA"/>
    <n v="278"/>
    <n v="834"/>
  </r>
  <r>
    <m/>
    <x v="103"/>
    <x v="15"/>
    <x v="9"/>
    <x v="4"/>
    <x v="6"/>
    <s v="0200111"/>
    <s v="SERV CONFECCAO DE ADESIVOS"/>
    <s v="CAVALETES CONFEC. EM CHAPA DE AÇO "/>
    <m/>
    <x v="25"/>
    <n v="7901"/>
    <n v="371065"/>
    <m/>
    <n v="4"/>
    <s v="UA"/>
    <n v="278"/>
    <n v="1112"/>
  </r>
  <r>
    <m/>
    <x v="103"/>
    <x v="15"/>
    <x v="9"/>
    <x v="4"/>
    <x v="6"/>
    <s v="0200111"/>
    <s v="SERV CONFECCAO DE ADESIVOS"/>
    <s v="QUADRO DE GESTÃO A VISTA EM ACM"/>
    <m/>
    <x v="25"/>
    <n v="7901"/>
    <n v="371065"/>
    <m/>
    <n v="1"/>
    <s v="UA"/>
    <n v="377"/>
    <n v="377"/>
  </r>
  <r>
    <m/>
    <x v="104"/>
    <x v="8"/>
    <x v="9"/>
    <x v="2"/>
    <x v="6"/>
    <s v="0200111"/>
    <s v="SERV CONFECCAO DE ADESIVOS"/>
    <s v="BANNER EM LONA - SEGURANÇA -PADRÃO BRACELL (DAILY MANAGEMENT)"/>
    <m/>
    <x v="25"/>
    <n v="7901"/>
    <n v="371075"/>
    <m/>
    <n v="4"/>
    <s v="UA"/>
    <n v="377"/>
    <n v="1508"/>
  </r>
  <r>
    <m/>
    <x v="103"/>
    <x v="7"/>
    <x v="9"/>
    <x v="10"/>
    <x v="6"/>
    <s v="0200111"/>
    <s v="SERV CONFECCAO DE ADESIVOS"/>
    <s v="BANNER EM LONA - SEGURANÇA -PADRÃO BRACELL -ACABAMENTO BASTÃO CORDA E PONTEIRA"/>
    <m/>
    <x v="25"/>
    <n v="7901"/>
    <n v="375030"/>
    <m/>
    <n v="1"/>
    <s v="UA"/>
    <n v="167"/>
    <n v="167"/>
  </r>
  <r>
    <m/>
    <x v="105"/>
    <x v="8"/>
    <x v="9"/>
    <x v="4"/>
    <x v="6"/>
    <s v="0200111"/>
    <s v="SERV CONFECCAO DE ADESIVOS"/>
    <s v="BANNER EM LONA - SEGURANÇA -PADRÃO BRACELL (DAILY MANAGEMENT)"/>
    <m/>
    <x v="25"/>
    <n v="7901"/>
    <n v="371065"/>
    <m/>
    <n v="2"/>
    <s v="UA"/>
    <n v="377"/>
    <n v="754"/>
  </r>
  <r>
    <m/>
    <x v="106"/>
    <x v="9"/>
    <x v="9"/>
    <x v="5"/>
    <x v="6"/>
    <s v="0200111"/>
    <s v="SERV CONFECCAO DE ADESIVOS"/>
    <s v="BANNER EM LONA - SEGURANÇA -PADRÃO BRACELL (DAILY MANAGEMENT)"/>
    <m/>
    <x v="25"/>
    <n v="7901"/>
    <n v="371045"/>
    <m/>
    <n v="2"/>
    <s v="UA"/>
    <n v="377"/>
    <n v="754"/>
  </r>
  <r>
    <m/>
    <x v="76"/>
    <x v="8"/>
    <x v="9"/>
    <x v="2"/>
    <x v="6"/>
    <s v="0200111"/>
    <s v="SERV CONFECCAO DE ADESIVOS"/>
    <s v="BANNER EM LONA - SEGURANÇA -PADRÃO BRACELL (DAILY MANAGEMENT)"/>
    <m/>
    <x v="25"/>
    <n v="7901"/>
    <n v="371094"/>
    <m/>
    <n v="2"/>
    <s v="UA"/>
    <n v="377"/>
    <n v="754"/>
  </r>
  <r>
    <m/>
    <x v="76"/>
    <x v="8"/>
    <x v="9"/>
    <x v="3"/>
    <x v="6"/>
    <s v="0200111"/>
    <s v="SERV CONFECCAO DE ADESIVOS"/>
    <s v="BANNER EM LONA - SEGURANÇA -PADRÃO BRACELL (DAILY MANAGEMENT)"/>
    <m/>
    <x v="25"/>
    <n v="7901"/>
    <n v="375040"/>
    <m/>
    <n v="2"/>
    <s v="UA"/>
    <n v="377"/>
    <n v="754"/>
  </r>
  <r>
    <m/>
    <x v="76"/>
    <x v="8"/>
    <x v="9"/>
    <x v="10"/>
    <x v="6"/>
    <s v="0200111"/>
    <s v="SERV CONFECCAO DE ADESIVOS"/>
    <s v="BANNER EM LONA - SEGURANÇA -PADRÃO BRACELL (DAILY MANAGEMENT)"/>
    <m/>
    <x v="25"/>
    <n v="7901"/>
    <n v="371030"/>
    <m/>
    <n v="2"/>
    <s v="UA"/>
    <n v="377"/>
    <n v="754"/>
  </r>
  <r>
    <m/>
    <x v="76"/>
    <x v="8"/>
    <x v="9"/>
    <x v="3"/>
    <x v="6"/>
    <s v="0200111"/>
    <s v="SERV CONFECCAO DE ADESIVOS"/>
    <s v="BANNER EM LONA - SEGURANÇA -PADRÃO BRACELL (DAILY MANAGEMENT)"/>
    <m/>
    <x v="25"/>
    <n v="7901"/>
    <n v="371055"/>
    <m/>
    <n v="2"/>
    <s v="UA"/>
    <n v="377"/>
    <n v="754"/>
  </r>
  <r>
    <m/>
    <x v="76"/>
    <x v="8"/>
    <x v="9"/>
    <x v="2"/>
    <x v="6"/>
    <s v="0200111"/>
    <s v="SERV CONFECCAO DE ADESIVOS"/>
    <s v="BANNER EM LONA - SEGURANÇA -PADRÃO BRACELL (DAILY MANAGEMENT)"/>
    <m/>
    <x v="25"/>
    <n v="7901"/>
    <n v="371065"/>
    <m/>
    <n v="2"/>
    <s v="UA"/>
    <n v="377"/>
    <n v="754"/>
  </r>
  <r>
    <m/>
    <x v="76"/>
    <x v="8"/>
    <x v="9"/>
    <x v="8"/>
    <x v="6"/>
    <s v="0200111"/>
    <s v="SERV CONFECCAO DE ADESIVOS"/>
    <s v="BANNER EM LONA - SEGURANÇA -PADRÃO BRACELL (DAILY MANAGEMENT)"/>
    <m/>
    <x v="25"/>
    <n v="7901"/>
    <n v="371068"/>
    <m/>
    <n v="1"/>
    <s v="UA"/>
    <n v="377"/>
    <n v="377"/>
  </r>
  <r>
    <m/>
    <x v="102"/>
    <x v="15"/>
    <x v="2"/>
    <x v="4"/>
    <x v="1"/>
    <n v="1000238"/>
    <s v="SERV DESP PEDAGIO"/>
    <s v="PEDAGIO FRETE FAZ. SALTO DO LONTRA x  FAZ. CABREUVA"/>
    <m/>
    <x v="25"/>
    <n v="7901"/>
    <n v="371065"/>
    <m/>
    <n v="1"/>
    <s v="UA"/>
    <n v="269.42"/>
    <n v="269.42"/>
  </r>
  <r>
    <m/>
    <x v="102"/>
    <x v="15"/>
    <x v="0"/>
    <x v="4"/>
    <x v="1"/>
    <n v="1000287"/>
    <s v="SERV FRETE CAMINHAO PRANCHA AGRIC"/>
    <s v="FRETE  FRETE FAZ. SALTO DO LONTRA x FAZ. CABREUVA "/>
    <n v="7002"/>
    <x v="19"/>
    <s v="0057"/>
    <n v="371065"/>
    <m/>
    <n v="352"/>
    <s v="KM"/>
    <n v="12.28"/>
    <n v="4322.5599999999995"/>
  </r>
  <r>
    <m/>
    <x v="107"/>
    <x v="15"/>
    <x v="2"/>
    <x v="4"/>
    <x v="1"/>
    <n v="1000238"/>
    <s v="SERV DESP PEDAGIO"/>
    <s v="PEDAGIO FRETE FAZ. CABREUVA X FAZ. IPE II "/>
    <m/>
    <x v="25"/>
    <n v="7901"/>
    <n v="371065"/>
    <m/>
    <n v="1"/>
    <s v="UA"/>
    <n v="0"/>
    <n v="0"/>
  </r>
  <r>
    <m/>
    <x v="107"/>
    <x v="15"/>
    <x v="0"/>
    <x v="4"/>
    <x v="1"/>
    <n v="1000287"/>
    <s v="SERV FRETE CAMINHAO PRANCHA AGRIC"/>
    <s v="FRETE  FRETE  FAZ. CABREUVA x FAZ. IPE II "/>
    <n v="7002"/>
    <x v="19"/>
    <s v="0271"/>
    <n v="371065"/>
    <m/>
    <n v="125"/>
    <s v="KM"/>
    <n v="12.28"/>
    <n v="1535"/>
  </r>
  <r>
    <m/>
    <x v="97"/>
    <x v="15"/>
    <x v="2"/>
    <x v="4"/>
    <x v="1"/>
    <n v="1000238"/>
    <s v="SERV DESP PEDAGIO"/>
    <s v="PEDAGIO FRETE FAZ. CABREUVA X FAZ. IPE II "/>
    <m/>
    <x v="25"/>
    <n v="7901"/>
    <n v="371094"/>
    <m/>
    <n v="1"/>
    <s v="UA"/>
    <n v="0"/>
    <n v="0"/>
  </r>
  <r>
    <m/>
    <x v="97"/>
    <x v="15"/>
    <x v="0"/>
    <x v="4"/>
    <x v="1"/>
    <n v="1000287"/>
    <s v="SERV FRETE CAMINHAO PRANCHA AGRIC"/>
    <s v="FRETE  FRETE  FAZ. CABREUVA x FAZ. IPE II "/>
    <n v="7002"/>
    <x v="19"/>
    <s v="0271"/>
    <n v="371094"/>
    <m/>
    <n v="125"/>
    <s v="KM"/>
    <n v="12.28"/>
    <n v="1535"/>
  </r>
  <r>
    <m/>
    <x v="97"/>
    <x v="15"/>
    <x v="2"/>
    <x v="4"/>
    <x v="1"/>
    <n v="1000238"/>
    <s v="SERV DESP PEDAGIO"/>
    <s v="PEDAGIO FRETE FAZ. CABREUVA X FAZ. IPE II "/>
    <m/>
    <x v="25"/>
    <n v="7901"/>
    <n v="371094"/>
    <m/>
    <n v="1"/>
    <s v="UA"/>
    <n v="0"/>
    <n v="0"/>
  </r>
  <r>
    <m/>
    <x v="97"/>
    <x v="15"/>
    <x v="0"/>
    <x v="4"/>
    <x v="1"/>
    <n v="1000287"/>
    <s v="SERV FRETE CAMINHAO PRANCHA AGRIC"/>
    <s v="FRETE  FRETE  FAZ. CABREUVA x FAZ. IPE II "/>
    <n v="7002"/>
    <x v="19"/>
    <s v="0271"/>
    <n v="371094"/>
    <m/>
    <n v="125"/>
    <s v="KM"/>
    <n v="12.28"/>
    <n v="1535"/>
  </r>
  <r>
    <m/>
    <x v="98"/>
    <x v="15"/>
    <x v="2"/>
    <x v="4"/>
    <x v="1"/>
    <n v="1000238"/>
    <s v="SERV DESP PEDAGIO"/>
    <s v="PEDAGIO FRETE FAZ. CABREUVA X FAZ. IPE II "/>
    <m/>
    <x v="25"/>
    <n v="7901"/>
    <n v="371045"/>
    <m/>
    <n v="1"/>
    <s v="UA"/>
    <n v="0"/>
    <n v="0"/>
  </r>
  <r>
    <m/>
    <x v="98"/>
    <x v="15"/>
    <x v="0"/>
    <x v="4"/>
    <x v="1"/>
    <n v="1000287"/>
    <s v="SERV FRETE CAMINHAO PRANCHA AGRIC"/>
    <s v="FRETE  FRETE  FAZ. CABREUVA x FAZ. IPE II "/>
    <n v="7002"/>
    <x v="19"/>
    <s v="0271"/>
    <n v="371045"/>
    <m/>
    <n v="125"/>
    <s v="KM"/>
    <n v="12.28"/>
    <n v="1535"/>
  </r>
  <r>
    <m/>
    <x v="108"/>
    <x v="15"/>
    <x v="2"/>
    <x v="11"/>
    <x v="1"/>
    <n v="1000238"/>
    <s v="SERV DESP PEDAGIO"/>
    <s v="PEDAGIO FRETE FAZ. PALMEIRAS X  FAZ. LAGOA DA ANTA "/>
    <m/>
    <x v="25"/>
    <n v="7901"/>
    <n v="371094"/>
    <m/>
    <n v="1"/>
    <s v="UA"/>
    <n v="1305.5999999999999"/>
    <n v="1305.5999999999999"/>
  </r>
  <r>
    <m/>
    <x v="108"/>
    <x v="15"/>
    <x v="0"/>
    <x v="11"/>
    <x v="1"/>
    <n v="1000287"/>
    <s v="SERV FRETE CAMINHAO PRANCHA AGRIC"/>
    <s v="FRETE  FRETE FAZ. PALMEIRAS X  FAZ. LAGOA DA ANTA "/>
    <n v="6007"/>
    <x v="40"/>
    <n v="6236"/>
    <n v="371094"/>
    <m/>
    <n v="1682"/>
    <s v="KM"/>
    <n v="12.28"/>
    <n v="20654.96"/>
  </r>
  <r>
    <m/>
    <x v="108"/>
    <x v="15"/>
    <x v="7"/>
    <x v="11"/>
    <x v="1"/>
    <s v="0000000"/>
    <s v="SERV DESP SEGURO"/>
    <s v="SEGURO"/>
    <m/>
    <x v="25"/>
    <n v="7901"/>
    <n v="371094"/>
    <m/>
    <n v="1"/>
    <s v="UA"/>
    <n v="455"/>
    <n v="455"/>
  </r>
  <r>
    <m/>
    <x v="108"/>
    <x v="15"/>
    <x v="2"/>
    <x v="11"/>
    <x v="1"/>
    <n v="1000238"/>
    <s v="SERV DESP PEDAGIO"/>
    <s v="PEDAGIO FRETE FAZ. PALMEIRAS X  FAZ. LAGOA DA ANTA "/>
    <m/>
    <x v="25"/>
    <n v="7901"/>
    <n v="371094"/>
    <m/>
    <n v="1"/>
    <s v="UA"/>
    <n v="1313.1"/>
    <n v="1313.1"/>
  </r>
  <r>
    <m/>
    <x v="108"/>
    <x v="15"/>
    <x v="0"/>
    <x v="11"/>
    <x v="1"/>
    <n v="1000287"/>
    <s v="SERV FRETE CAMINHAO PRANCHA AGRIC"/>
    <s v="FRETE  FRETE FAZ. PALMEIRAS X  FAZ. LAGOA DA ANTA "/>
    <n v="6007"/>
    <x v="40"/>
    <n v="6236"/>
    <n v="371094"/>
    <m/>
    <n v="1683"/>
    <s v="KM"/>
    <n v="12.28"/>
    <n v="20667.239999999998"/>
  </r>
  <r>
    <m/>
    <x v="108"/>
    <x v="15"/>
    <x v="7"/>
    <x v="11"/>
    <x v="1"/>
    <s v="0000000"/>
    <s v="SERV DESP SEGURO"/>
    <s v="SEGURO"/>
    <m/>
    <x v="25"/>
    <n v="7901"/>
    <n v="371094"/>
    <m/>
    <n v="1"/>
    <s v="UA"/>
    <n v="630"/>
    <n v="630"/>
  </r>
  <r>
    <m/>
    <x v="108"/>
    <x v="15"/>
    <x v="2"/>
    <x v="11"/>
    <x v="1"/>
    <n v="1000238"/>
    <s v="SERV DESP PEDAGIO"/>
    <s v="PEDAGIO FRETE FAZ. PALMEIRAS X  FAZ. LAGOA DA ANTA "/>
    <m/>
    <x v="25"/>
    <n v="7901"/>
    <n v="371094"/>
    <m/>
    <n v="1"/>
    <s v="UA"/>
    <n v="1232.0999999999999"/>
    <n v="1232.0999999999999"/>
  </r>
  <r>
    <m/>
    <x v="108"/>
    <x v="15"/>
    <x v="0"/>
    <x v="11"/>
    <x v="1"/>
    <n v="1000287"/>
    <s v="SERV FRETE CAMINHAO PRANCHA AGRIC"/>
    <s v="FRETE  FRETE FAZ. PALMEIRAS X  FAZ. LAGOA DA ANTA "/>
    <n v="6007"/>
    <x v="40"/>
    <n v="6236"/>
    <n v="371094"/>
    <m/>
    <n v="1683"/>
    <s v="KM"/>
    <n v="12.28"/>
    <n v="20667.239999999998"/>
  </r>
  <r>
    <m/>
    <x v="108"/>
    <x v="15"/>
    <x v="7"/>
    <x v="11"/>
    <x v="1"/>
    <s v="0000000"/>
    <s v="SERV DESP SEGURO"/>
    <s v="SEGURO"/>
    <m/>
    <x v="25"/>
    <n v="7901"/>
    <n v="371094"/>
    <m/>
    <n v="1"/>
    <s v="UA"/>
    <n v="455"/>
    <n v="455"/>
  </r>
  <r>
    <m/>
    <x v="108"/>
    <x v="15"/>
    <x v="2"/>
    <x v="11"/>
    <x v="1"/>
    <n v="1000238"/>
    <s v="SERV DESP PEDAGIO"/>
    <s v="PEDAGIO FRETE FAZ. PALMEIRAS X  FAZ. LAGOA DA ANTA "/>
    <m/>
    <x v="25"/>
    <n v="7901"/>
    <n v="371094"/>
    <m/>
    <n v="1"/>
    <s v="UA"/>
    <n v="1706.2"/>
    <n v="1706.2"/>
  </r>
  <r>
    <m/>
    <x v="108"/>
    <x v="15"/>
    <x v="0"/>
    <x v="11"/>
    <x v="1"/>
    <n v="1000287"/>
    <s v="SERV FRETE CAMINHAO PRANCHA AGRIC"/>
    <s v="FRETE  FRETE FAZ. PALMEIRAS X  FAZ. LAGOA DA ANTA "/>
    <n v="6007"/>
    <x v="40"/>
    <n v="6236"/>
    <n v="371094"/>
    <m/>
    <n v="1693"/>
    <s v="KM"/>
    <n v="12.28"/>
    <n v="20790.039999999997"/>
  </r>
  <r>
    <m/>
    <x v="108"/>
    <x v="15"/>
    <x v="7"/>
    <x v="11"/>
    <x v="1"/>
    <s v="0000000"/>
    <s v="SERV DESP SEGURO"/>
    <s v="SEGURO"/>
    <m/>
    <x v="25"/>
    <n v="7901"/>
    <n v="371094"/>
    <n v="1"/>
    <n v="1"/>
    <s v="UA"/>
    <n v="490"/>
    <n v="490"/>
  </r>
  <r>
    <m/>
    <x v="108"/>
    <x v="15"/>
    <x v="2"/>
    <x v="11"/>
    <x v="1"/>
    <n v="1000238"/>
    <s v="SERV DESP PEDAGIO"/>
    <s v="PEDAGIO FRETE FAZ. PALMEIRAS X  FAZ. PIRACANJUBA "/>
    <m/>
    <x v="25"/>
    <n v="7901"/>
    <n v="371094"/>
    <m/>
    <n v="1"/>
    <s v="UA"/>
    <n v="1758.3"/>
    <n v="1758.3"/>
  </r>
  <r>
    <m/>
    <x v="108"/>
    <x v="15"/>
    <x v="0"/>
    <x v="11"/>
    <x v="1"/>
    <n v="1000287"/>
    <s v="SERV FRETE CAMINHAO PRANCHA AGRIC"/>
    <s v="FRETE  FRETE FAZ. PALMEIRAS X  FAZ. PIRACANJUBA "/>
    <n v="6007"/>
    <x v="40"/>
    <n v="6234"/>
    <n v="371094"/>
    <m/>
    <n v="816.5"/>
    <s v="KM"/>
    <n v="12.28"/>
    <n v="10026.619999999999"/>
  </r>
  <r>
    <m/>
    <x v="108"/>
    <x v="15"/>
    <x v="7"/>
    <x v="11"/>
    <x v="1"/>
    <s v="0000000"/>
    <s v="SERV DESP SEGURO"/>
    <s v="SEGURO"/>
    <m/>
    <x v="25"/>
    <n v="7901"/>
    <n v="371094"/>
    <n v="1"/>
    <n v="1"/>
    <s v="UA"/>
    <n v="630"/>
    <n v="630"/>
  </r>
  <r>
    <m/>
    <x v="108"/>
    <x v="15"/>
    <x v="2"/>
    <x v="11"/>
    <x v="1"/>
    <n v="1000238"/>
    <s v="SERV DESP PEDAGIO"/>
    <s v="PEDAGIO FRETE FAZ. PALMEIRAS X  FAZ. PIRACANJUBA "/>
    <m/>
    <x v="25"/>
    <n v="7901"/>
    <n v="371094"/>
    <m/>
    <n v="1"/>
    <s v="UA"/>
    <n v="0"/>
    <n v="0"/>
  </r>
  <r>
    <m/>
    <x v="108"/>
    <x v="15"/>
    <x v="0"/>
    <x v="11"/>
    <x v="1"/>
    <n v="1000287"/>
    <s v="SERV FRETE CAMINHAO PRANCHA AGRIC"/>
    <s v="FRETE  FRETE FAZ. PALMEIRAS X  FAZ. PIRACANJUBA "/>
    <n v="6007"/>
    <x v="40"/>
    <n v="6234"/>
    <n v="371094"/>
    <m/>
    <n v="816.5"/>
    <s v="KM"/>
    <n v="12.28"/>
    <n v="10026.619999999999"/>
  </r>
  <r>
    <m/>
    <x v="108"/>
    <x v="15"/>
    <x v="11"/>
    <x v="11"/>
    <x v="1"/>
    <s v="0000000"/>
    <s v="SERV DESP SEGURO"/>
    <s v="SEGURO"/>
    <m/>
    <x v="25"/>
    <n v="7901"/>
    <n v="371094"/>
    <m/>
    <n v="1"/>
    <s v="UA"/>
    <n v="630"/>
    <n v="630"/>
  </r>
  <r>
    <m/>
    <x v="109"/>
    <x v="15"/>
    <x v="2"/>
    <x v="4"/>
    <x v="1"/>
    <n v="1000238"/>
    <s v="SERV DESP PEDAGIO"/>
    <s v="PEDAGIO FRETE FAZ. PRIMAVERA  X  FAZ. SANTA MADALENA "/>
    <m/>
    <x v="25"/>
    <n v="7901"/>
    <n v="371094"/>
    <m/>
    <n v="1"/>
    <s v="UA"/>
    <n v="71.099999999999994"/>
    <n v="71.099999999999994"/>
  </r>
  <r>
    <m/>
    <x v="109"/>
    <x v="15"/>
    <x v="0"/>
    <x v="4"/>
    <x v="1"/>
    <n v="1000287"/>
    <s v="SERV FRETE CAMINHAO PRANCHA AGRIC"/>
    <s v="FRETE  FRETE FAZ. PRIMAVERA  X  FAZ. SANTA MADALENA "/>
    <n v="7002"/>
    <x v="19"/>
    <s v="0346"/>
    <n v="371094"/>
    <m/>
    <n v="250"/>
    <s v="KM"/>
    <n v="12.28"/>
    <n v="3070"/>
  </r>
  <r>
    <m/>
    <x v="109"/>
    <x v="15"/>
    <x v="2"/>
    <x v="4"/>
    <x v="1"/>
    <n v="1000238"/>
    <s v="SERV DESP PEDAGIO"/>
    <s v="PEDAGIO FRETE FAZ. TURVINHO II X  FAZ. OITO PONTAS "/>
    <m/>
    <x v="25"/>
    <n v="7901"/>
    <n v="371065"/>
    <m/>
    <n v="1"/>
    <s v="UA"/>
    <n v="323.2"/>
    <n v="323.2"/>
  </r>
  <r>
    <m/>
    <x v="109"/>
    <x v="15"/>
    <x v="0"/>
    <x v="4"/>
    <x v="1"/>
    <n v="1000287"/>
    <s v="SERV FRETE CAMINHAO PRANCHA AGRIC"/>
    <s v="FRETE  FRETE FAZ. TURVINHO II X  FAZ. OITO PONTAS "/>
    <n v="7007"/>
    <x v="1"/>
    <s v="0420"/>
    <n v="371065"/>
    <m/>
    <n v="284"/>
    <s v="KM"/>
    <n v="12.28"/>
    <n v="3487.52"/>
  </r>
  <r>
    <m/>
    <x v="109"/>
    <x v="15"/>
    <x v="2"/>
    <x v="4"/>
    <x v="1"/>
    <n v="1000238"/>
    <s v="SERV DESP PEDAGIO"/>
    <s v="PEDAGIO FRETE FAZ. TURVINHO II X  FAZ. OITO PONTAS "/>
    <m/>
    <x v="25"/>
    <n v="7901"/>
    <n v="371065"/>
    <m/>
    <n v="1"/>
    <s v="UA"/>
    <n v="302.60000000000002"/>
    <n v="302.60000000000002"/>
  </r>
  <r>
    <m/>
    <x v="109"/>
    <x v="15"/>
    <x v="0"/>
    <x v="4"/>
    <x v="1"/>
    <n v="1000287"/>
    <s v="SERV FRETE CAMINHAO PRANCHA AGRIC"/>
    <s v="FRETE  FRETE FAZ. TURVINHO II X  FAZ. OITO PONTAS "/>
    <n v="7007"/>
    <x v="1"/>
    <s v="0420"/>
    <n v="371065"/>
    <m/>
    <n v="292"/>
    <s v="KM"/>
    <n v="12.28"/>
    <n v="3585.7599999999998"/>
  </r>
  <r>
    <m/>
    <x v="109"/>
    <x v="15"/>
    <x v="2"/>
    <x v="4"/>
    <x v="1"/>
    <n v="1000238"/>
    <s v="SERV DESP PEDAGIO"/>
    <s v="PEDAGIO FRETE FAZ. TURVINHO II X  FAZ. OITO PONTAS "/>
    <m/>
    <x v="25"/>
    <n v="7901"/>
    <n v="371065"/>
    <m/>
    <n v="1"/>
    <s v="UA"/>
    <n v="217.6"/>
    <n v="217.6"/>
  </r>
  <r>
    <m/>
    <x v="109"/>
    <x v="15"/>
    <x v="0"/>
    <x v="4"/>
    <x v="1"/>
    <n v="1000287"/>
    <s v="SERV FRETE CAMINHAO PRANCHA AGRIC"/>
    <s v="FRETE  FRETE FAZ. TURVINHO II X  FAZ. OITO PONTAS "/>
    <n v="7007"/>
    <x v="1"/>
    <s v="0420"/>
    <n v="371065"/>
    <m/>
    <n v="290"/>
    <s v="KM"/>
    <n v="12.28"/>
    <n v="3561.2"/>
  </r>
  <r>
    <m/>
    <x v="110"/>
    <x v="15"/>
    <x v="2"/>
    <x v="0"/>
    <x v="0"/>
    <n v="1000238"/>
    <s v="SERV DESP PEDAGIO"/>
    <s v="PEDAGIO FRETE  FAZ. IPÊ X FAZ. PALMEIRAS"/>
    <m/>
    <x v="25"/>
    <n v="7901"/>
    <n v="371094"/>
    <m/>
    <n v="1"/>
    <s v="UA"/>
    <n v="1597"/>
    <n v="1597"/>
  </r>
  <r>
    <m/>
    <x v="110"/>
    <x v="15"/>
    <x v="0"/>
    <x v="0"/>
    <x v="0"/>
    <n v="1000287"/>
    <s v="SERV FRETE CAMINHAO PRANCHA AGRIC"/>
    <s v="FRETE FAZ. IPÊ X FAZ. PALMEIRAS"/>
    <n v="7024"/>
    <x v="39"/>
    <s v="0938"/>
    <n v="371094"/>
    <m/>
    <n v="1398.9"/>
    <s v="KM"/>
    <n v="13.69"/>
    <n v="19150.940999999999"/>
  </r>
  <r>
    <m/>
    <x v="111"/>
    <x v="17"/>
    <x v="2"/>
    <x v="4"/>
    <x v="1"/>
    <n v="1000238"/>
    <s v="SERV DESP PEDAGIO"/>
    <s v="PEDAGIO FRETE  FAZ.OITO PONTAS X FAZ. LARANJAL "/>
    <m/>
    <x v="25"/>
    <n v="7901"/>
    <n v="371065"/>
    <m/>
    <n v="1"/>
    <s v="UA"/>
    <n v="432.31"/>
    <n v="432.31"/>
  </r>
  <r>
    <m/>
    <x v="111"/>
    <x v="17"/>
    <x v="0"/>
    <x v="4"/>
    <x v="1"/>
    <n v="1000287"/>
    <s v="SERV FRETE CAMINHAO PRANCHA AGRIC"/>
    <s v="FRETE FAZ.OITO PONTAS X FAZ. LARANJAL "/>
    <n v="7020"/>
    <x v="13"/>
    <n v="2045"/>
    <n v="371065"/>
    <m/>
    <n v="256"/>
    <s v="KM"/>
    <n v="12.28"/>
    <n v="3143.68"/>
  </r>
  <r>
    <m/>
    <x v="111"/>
    <x v="17"/>
    <x v="2"/>
    <x v="4"/>
    <x v="1"/>
    <n v="1000238"/>
    <s v="SERV DESP PEDAGIO"/>
    <s v="PEDAGIO FRETE  FAZ.OITO PONTAS X FAZ. LARANJAL "/>
    <m/>
    <x v="25"/>
    <n v="7901"/>
    <n v="371065"/>
    <m/>
    <n v="1"/>
    <s v="UA"/>
    <n v="1232.0999999999999"/>
    <n v="1232.0999999999999"/>
  </r>
  <r>
    <m/>
    <x v="111"/>
    <x v="17"/>
    <x v="0"/>
    <x v="4"/>
    <x v="1"/>
    <n v="1000287"/>
    <s v="SERV FRETE CAMINHAO PRANCHA AGRIC"/>
    <s v="FRETE FAZ.OITO PONTAS X FAZ. LARANJAL "/>
    <n v="7020"/>
    <x v="13"/>
    <n v="2045"/>
    <n v="371065"/>
    <m/>
    <n v="392"/>
    <s v="KM"/>
    <n v="12.28"/>
    <n v="4813.7599999999993"/>
  </r>
  <r>
    <m/>
    <x v="111"/>
    <x v="17"/>
    <x v="2"/>
    <x v="4"/>
    <x v="1"/>
    <n v="1000238"/>
    <s v="SERV DESP PEDAGIO"/>
    <s v="PEDAGIO FRETE  FAZ.OITO PONTAS X FAZ. LARANJAL "/>
    <m/>
    <x v="25"/>
    <n v="7901"/>
    <n v="371065"/>
    <m/>
    <n v="1"/>
    <s v="UA"/>
    <n v="1706.2"/>
    <n v="1706.2"/>
  </r>
  <r>
    <m/>
    <x v="111"/>
    <x v="17"/>
    <x v="0"/>
    <x v="4"/>
    <x v="1"/>
    <n v="1000287"/>
    <s v="SERV FRETE CAMINHAO PRANCHA AGRIC"/>
    <s v="FRETE FAZ.OITO PONTAS X FAZ. LARANJAL "/>
    <n v="7020"/>
    <x v="13"/>
    <n v="2045"/>
    <n v="371065"/>
    <m/>
    <n v="392"/>
    <s v="KM"/>
    <n v="12.28"/>
    <n v="4813.7599999999993"/>
  </r>
  <r>
    <m/>
    <x v="112"/>
    <x v="17"/>
    <x v="2"/>
    <x v="3"/>
    <x v="1"/>
    <n v="1000238"/>
    <s v="SERV DESP PEDAGIO"/>
    <s v="PEDAGIO FRET FAZ. MADALENA II X FAZ. BARREIRO RICO "/>
    <m/>
    <x v="25"/>
    <n v="7901"/>
    <n v="371055"/>
    <m/>
    <n v="1"/>
    <s v="UA"/>
    <n v="294.89999999999998"/>
    <n v="294.89999999999998"/>
  </r>
  <r>
    <m/>
    <x v="112"/>
    <x v="17"/>
    <x v="0"/>
    <x v="3"/>
    <x v="1"/>
    <n v="1000287"/>
    <s v="SERV FRETE CAMINHAO PRANCHA AGRIC"/>
    <s v="FRETE FAZ. MADALENA II X FAZ. BARREIRO RICO "/>
    <n v="7060"/>
    <x v="2"/>
    <s v="0295"/>
    <n v="371055"/>
    <m/>
    <n v="250"/>
    <s v="KM"/>
    <n v="12.28"/>
    <n v="3070"/>
  </r>
  <r>
    <m/>
    <x v="113"/>
    <x v="17"/>
    <x v="2"/>
    <x v="5"/>
    <x v="0"/>
    <n v="1000238"/>
    <s v="SERV DESP PEDAGIO"/>
    <s v="PEDAGIO FRETE FAZ. LIMEIRA X FAZ. PALMEIRAS"/>
    <m/>
    <x v="25"/>
    <n v="7901"/>
    <n v="371045"/>
    <m/>
    <n v="1"/>
    <s v="UA"/>
    <n v="1163.4000000000001"/>
    <n v="1163.4000000000001"/>
  </r>
  <r>
    <m/>
    <x v="113"/>
    <x v="17"/>
    <x v="0"/>
    <x v="5"/>
    <x v="0"/>
    <n v="1000287"/>
    <s v="SERV FRETE CAMINHAO PRANCHA AGRIC"/>
    <s v="FRETE FAZ.  LIMEIRA X FAZ. PALMEIRAS"/>
    <n v="7024"/>
    <x v="39"/>
    <s v="0938"/>
    <n v="371045"/>
    <m/>
    <n v="739.3"/>
    <s v="KM"/>
    <n v="13.69"/>
    <n v="10121.017"/>
  </r>
  <r>
    <m/>
    <x v="114"/>
    <x v="17"/>
    <x v="2"/>
    <x v="3"/>
    <x v="1"/>
    <n v="1000238"/>
    <s v="SERV DESP PEDAGIO"/>
    <s v="PEDAGIO FRETE  FAZ. BARREIRO RICO X FAZ. PRATA"/>
    <m/>
    <x v="25"/>
    <n v="7901"/>
    <n v="371055"/>
    <m/>
    <n v="1"/>
    <s v="UA"/>
    <n v="206.2"/>
    <n v="206.2"/>
  </r>
  <r>
    <m/>
    <x v="114"/>
    <x v="17"/>
    <x v="0"/>
    <x v="3"/>
    <x v="1"/>
    <n v="1000287"/>
    <s v="SERV FRETE CAMINHAO PRANCHA AGRIC"/>
    <s v="FRETE FAZ. BARREIRO RICO X FAZ. PRATA"/>
    <n v="7002"/>
    <x v="19"/>
    <s v="0275"/>
    <n v="371055"/>
    <m/>
    <n v="118"/>
    <s v="KM"/>
    <n v="12.28"/>
    <n v="1449.04"/>
  </r>
  <r>
    <m/>
    <x v="114"/>
    <x v="17"/>
    <x v="2"/>
    <x v="3"/>
    <x v="1"/>
    <n v="1000238"/>
    <s v="SERV DESP PEDAGIO"/>
    <s v="PEDAGIO FRETE  FAZ. PRATA X FAZ. CABREÚVA "/>
    <m/>
    <x v="25"/>
    <n v="7901"/>
    <n v="371055"/>
    <m/>
    <n v="1"/>
    <s v="UA"/>
    <n v="0"/>
    <n v="0"/>
  </r>
  <r>
    <m/>
    <x v="114"/>
    <x v="17"/>
    <x v="0"/>
    <x v="3"/>
    <x v="1"/>
    <n v="1000287"/>
    <s v="SERV FRETE CAMINHAO PRANCHA AGRIC"/>
    <s v="FRETE FAZ. PRATA X FAZ. CABREÚVA "/>
    <n v="7013"/>
    <x v="41"/>
    <s v="0266"/>
    <n v="371055"/>
    <m/>
    <n v="36"/>
    <s v="KM"/>
    <n v="12.28"/>
    <n v="442.08"/>
  </r>
  <r>
    <m/>
    <x v="114"/>
    <x v="17"/>
    <x v="2"/>
    <x v="3"/>
    <x v="1"/>
    <n v="1000238"/>
    <s v="SERV DESP PEDAGIO"/>
    <s v="PEDAGIO FRETE  FAZ. BARREIRO RICO X  FAZ. SANTA MADALENA II"/>
    <m/>
    <x v="25"/>
    <n v="7901"/>
    <n v="371055"/>
    <m/>
    <n v="1"/>
    <s v="UA"/>
    <n v="177.1"/>
    <n v="177.1"/>
  </r>
  <r>
    <m/>
    <x v="114"/>
    <x v="17"/>
    <x v="0"/>
    <x v="3"/>
    <x v="1"/>
    <n v="1000287"/>
    <s v="SERV FRETE CAMINHAO PRANCHA AGRIC"/>
    <s v="FRETE FAZ. BARREIRO RICO  X FAZ. SANTA MADALENA II"/>
    <n v="7013"/>
    <x v="41"/>
    <m/>
    <n v="371055"/>
    <m/>
    <n v="179"/>
    <s v="KM"/>
    <n v="12.28"/>
    <n v="2198.12"/>
  </r>
  <r>
    <m/>
    <x v="114"/>
    <x v="17"/>
    <x v="2"/>
    <x v="3"/>
    <x v="1"/>
    <n v="1000238"/>
    <s v="SERV DESP PEDAGIO"/>
    <s v="PEDAGIO FRETE  FAZ. BARREIRO RICO X  FAZ. SANTA MADALENA II"/>
    <m/>
    <x v="25"/>
    <n v="7901"/>
    <n v="371055"/>
    <m/>
    <n v="1"/>
    <s v="UA"/>
    <n v="393.7"/>
    <n v="393.7"/>
  </r>
  <r>
    <m/>
    <x v="114"/>
    <x v="17"/>
    <x v="0"/>
    <x v="3"/>
    <x v="1"/>
    <n v="1000287"/>
    <s v="SERV FRETE CAMINHAO PRANCHA AGRIC"/>
    <s v="FRETE FAZ. BARREIRO RICO  X FAZ. SANTA MADALENA II"/>
    <n v="7013"/>
    <x v="41"/>
    <m/>
    <n v="371055"/>
    <m/>
    <n v="145"/>
    <s v="KM"/>
    <n v="12.28"/>
    <n v="1780.6"/>
  </r>
  <r>
    <m/>
    <x v="114"/>
    <x v="17"/>
    <x v="2"/>
    <x v="3"/>
    <x v="1"/>
    <n v="1000238"/>
    <s v="SERV DESP PEDAGIO"/>
    <s v="PEDAGIO FRETE  BARREIRO RICO X TIBIRIÇA"/>
    <m/>
    <x v="25"/>
    <n v="7901"/>
    <n v="371065"/>
    <m/>
    <n v="1"/>
    <s v="UA"/>
    <n v="162"/>
    <n v="162"/>
  </r>
  <r>
    <m/>
    <x v="114"/>
    <x v="17"/>
    <x v="0"/>
    <x v="3"/>
    <x v="1"/>
    <n v="1000287"/>
    <s v="SERV FRETE CAMINHAO PRANCHA AGRIC"/>
    <s v="FRETE FAZ. BARREIRO RICO X TIBIRIÇA"/>
    <n v="7004"/>
    <x v="42"/>
    <s v="0294"/>
    <n v="371065"/>
    <m/>
    <n v="148"/>
    <s v="KM"/>
    <n v="12.28"/>
    <n v="1817.4399999999998"/>
  </r>
  <r>
    <m/>
    <x v="114"/>
    <x v="17"/>
    <x v="2"/>
    <x v="3"/>
    <x v="1"/>
    <n v="1000238"/>
    <s v="SERV DESP PEDAGIO"/>
    <s v="PEDAGIO FRETE  BARREIRO RICO X FAZ. CABREÚVA II"/>
    <m/>
    <x v="25"/>
    <n v="7901"/>
    <n v="371065"/>
    <m/>
    <n v="1"/>
    <s v="UA"/>
    <n v="163.80000000000001"/>
    <n v="163.80000000000001"/>
  </r>
  <r>
    <m/>
    <x v="114"/>
    <x v="17"/>
    <x v="0"/>
    <x v="3"/>
    <x v="1"/>
    <n v="1000287"/>
    <s v="SERV FRETE CAMINHAO PRANCHA AGRIC"/>
    <s v="FRETE FAZ. BARREIRO RICO X FAZ. CABREÚVA II"/>
    <n v="7013"/>
    <x v="41"/>
    <s v="0266"/>
    <n v="371065"/>
    <m/>
    <n v="250"/>
    <s v="KM"/>
    <n v="12.28"/>
    <n v="3070"/>
  </r>
  <r>
    <m/>
    <x v="115"/>
    <x v="17"/>
    <x v="2"/>
    <x v="5"/>
    <x v="1"/>
    <n v="1000238"/>
    <s v="SERV DESP PEDAGIO"/>
    <s v="PEDAGIO FRETE FAZ. NOVO HORIZONTE X FAZ. PVELHA GLEBA A"/>
    <m/>
    <x v="25"/>
    <n v="7901"/>
    <n v="371045"/>
    <m/>
    <n v="1"/>
    <s v="UA"/>
    <n v="805.2"/>
    <n v="805.2"/>
  </r>
  <r>
    <m/>
    <x v="115"/>
    <x v="17"/>
    <x v="0"/>
    <x v="5"/>
    <x v="1"/>
    <n v="1000287"/>
    <s v="SERV FRETE CAMINHAO PRANCHA AGRIC"/>
    <s v="FRETE FAZ. NOVO HORIZONTE X FAZ. PVELHA GLEBA A"/>
    <n v="7019"/>
    <x v="35"/>
    <s v="0541"/>
    <n v="371045"/>
    <m/>
    <n v="608"/>
    <s v="KM"/>
    <n v="12.28"/>
    <n v="7466.24"/>
  </r>
  <r>
    <m/>
    <x v="116"/>
    <x v="17"/>
    <x v="2"/>
    <x v="4"/>
    <x v="1"/>
    <n v="1000238"/>
    <s v="SERV DESP PEDAGIO"/>
    <s v="PEDAGIO FRETE FAZENDA MENDES UNIÃO X  FAZ. FLECHA AZUL"/>
    <m/>
    <x v="25"/>
    <n v="7901"/>
    <n v="371065"/>
    <m/>
    <n v="1"/>
    <s v="UA"/>
    <n v="449.32"/>
    <n v="449.32"/>
  </r>
  <r>
    <m/>
    <x v="116"/>
    <x v="17"/>
    <x v="0"/>
    <x v="4"/>
    <x v="1"/>
    <n v="1000287"/>
    <s v="SERV FRETE CAMINHAO PRANCHA AGRIC"/>
    <s v="FRETE  FRETE FAZENDA MENDES UNIÃO X  FAZ. FLECHA AZUL"/>
    <n v="7106"/>
    <x v="37"/>
    <n v="2081"/>
    <n v="371065"/>
    <m/>
    <m/>
    <s v="KM"/>
    <n v="12.28"/>
    <n v="0"/>
  </r>
  <r>
    <m/>
    <x v="116"/>
    <x v="18"/>
    <x v="2"/>
    <x v="4"/>
    <x v="1"/>
    <n v="1000238"/>
    <s v="SERV DESP PEDAGIO"/>
    <s v="PEDAGIO FRETE  FAZ. ÁGUA FRIA X  FAZ. FLECHA AZUL"/>
    <m/>
    <x v="25"/>
    <n v="7901"/>
    <n v="371065"/>
    <m/>
    <n v="1"/>
    <s v="UA"/>
    <n v="447.32"/>
    <n v="447.32"/>
  </r>
  <r>
    <m/>
    <x v="116"/>
    <x v="19"/>
    <x v="0"/>
    <x v="4"/>
    <x v="1"/>
    <n v="1000287"/>
    <s v="SERV FRETE CAMINHAO PRANCHA AGRIC"/>
    <s v="FRETE  FRETE FAZ. ÁGUA FRIA  X  FAZ. FLECHA AZUL"/>
    <n v="7106"/>
    <x v="37"/>
    <n v="2081"/>
    <n v="371065"/>
    <m/>
    <m/>
    <s v="KM"/>
    <n v="12.28"/>
    <n v="0"/>
  </r>
  <r>
    <m/>
    <x v="117"/>
    <x v="17"/>
    <x v="2"/>
    <x v="12"/>
    <x v="1"/>
    <n v="1000238"/>
    <s v="SERV DESP PEDAGIO"/>
    <s v="PEDAGIO FRETE   FAZ. NOVO HORIZONTE X FAZ. PINHEIRO "/>
    <m/>
    <x v="25"/>
    <n v="7901"/>
    <m/>
    <m/>
    <n v="1"/>
    <s v="UA"/>
    <m/>
    <n v="0"/>
  </r>
  <r>
    <m/>
    <x v="117"/>
    <x v="17"/>
    <x v="0"/>
    <x v="12"/>
    <x v="1"/>
    <n v="1000287"/>
    <s v="SERV FRETE CAMINHAO PRANCHA AGRIC"/>
    <s v="FRETE  FRETE FAZ. NOVO HORIZONTE  X FAZ. PINHEIRO "/>
    <m/>
    <x v="43"/>
    <m/>
    <m/>
    <m/>
    <m/>
    <s v="KM"/>
    <n v="12.28"/>
    <n v="0"/>
  </r>
  <r>
    <m/>
    <x v="118"/>
    <x v="17"/>
    <x v="2"/>
    <x v="3"/>
    <x v="1"/>
    <n v="1000238"/>
    <s v="SERV DESP PEDAGIO"/>
    <s v="PEDAGIO FRETE   DIVISÃO LENÇÓIS PAULISTA/SP X FAZ. NOVA HORIZONTE"/>
    <m/>
    <x v="25"/>
    <n v="7901"/>
    <n v="371055"/>
    <m/>
    <n v="1"/>
    <s v="UA"/>
    <n v="805.2"/>
    <n v="805.2"/>
  </r>
  <r>
    <m/>
    <x v="118"/>
    <x v="17"/>
    <x v="0"/>
    <x v="3"/>
    <x v="1"/>
    <n v="1000287"/>
    <s v="SERV FRETE CAMINHAO PRANCHA AGRIC"/>
    <s v="FRETE  FRETE  DIVISÃO LENÇÓIS PAULISTA/SP X FAZ. NOVA HORIZONTE"/>
    <n v="7024"/>
    <x v="36"/>
    <s v="0935"/>
    <n v="371055"/>
    <m/>
    <n v="592"/>
    <s v="KM"/>
    <n v="12.28"/>
    <n v="7269.7599999999993"/>
  </r>
  <r>
    <m/>
    <x v="118"/>
    <x v="17"/>
    <x v="2"/>
    <x v="10"/>
    <x v="1"/>
    <n v="1000238"/>
    <s v="SERV DESP PEDAGIO"/>
    <s v="PEDAGIO FRETE   FAZ. LAGOA RICA X FAZ. BOA VISTA II"/>
    <m/>
    <x v="25"/>
    <n v="7901"/>
    <n v="375030"/>
    <m/>
    <n v="1"/>
    <s v="UA"/>
    <n v="206.99"/>
    <n v="206.99"/>
  </r>
  <r>
    <m/>
    <x v="118"/>
    <x v="17"/>
    <x v="0"/>
    <x v="10"/>
    <x v="1"/>
    <n v="1000287"/>
    <s v="SERV FRETE CAMINHAO PRANCHA AGRIC"/>
    <s v="FRETE  FRETE FAZ. LAGOA RICA X FAZ. BOA VISTA II"/>
    <n v="7067"/>
    <x v="44"/>
    <s v="0098"/>
    <n v="375030"/>
    <m/>
    <n v="250"/>
    <s v="KM"/>
    <n v="12.28"/>
    <n v="3070"/>
  </r>
  <r>
    <m/>
    <x v="118"/>
    <x v="17"/>
    <x v="2"/>
    <x v="3"/>
    <x v="1"/>
    <n v="1000238"/>
    <s v="SERV DESP PEDAGIO"/>
    <s v="PEDAGIO FRETE DIVISÃO LENÇÓIS PAULISTA/SP  X FAZ. NOVA HORIZONTE"/>
    <m/>
    <x v="25"/>
    <n v="7901"/>
    <n v="371055"/>
    <m/>
    <n v="1"/>
    <s v="UA"/>
    <n v="678.9"/>
    <n v="678.9"/>
  </r>
  <r>
    <m/>
    <x v="118"/>
    <x v="17"/>
    <x v="0"/>
    <x v="3"/>
    <x v="1"/>
    <n v="1000287"/>
    <s v="SERV FRETE CAMINHAO PRANCHA AGRIC"/>
    <s v="FRETE  FRETE DIVISÃO LENÇÓIS PAULISTA/SP  X FAZ. NOVA HORIZONTE"/>
    <n v="7024"/>
    <x v="36"/>
    <s v="0935"/>
    <n v="371055"/>
    <m/>
    <n v="590"/>
    <s v="KM"/>
    <n v="12.28"/>
    <n v="7245.2"/>
  </r>
  <r>
    <m/>
    <x v="118"/>
    <x v="17"/>
    <x v="2"/>
    <x v="3"/>
    <x v="1"/>
    <n v="1000238"/>
    <s v="SERV DESP PEDAGIO"/>
    <s v="PEDAGIO FRETE DIVISÃO LENÇÓIS PAULISTA/SP  X FAZ. NOVA HORIZONTE"/>
    <m/>
    <x v="25"/>
    <n v="7901"/>
    <n v="371055"/>
    <m/>
    <n v="1"/>
    <s v="UA"/>
    <n v="678.9"/>
    <n v="678.9"/>
  </r>
  <r>
    <m/>
    <x v="118"/>
    <x v="17"/>
    <x v="0"/>
    <x v="3"/>
    <x v="1"/>
    <n v="1000287"/>
    <s v="SERV FRETE CAMINHAO PRANCHA AGRIC"/>
    <s v="FRETE  FRETE DIVISÃO LENÇÓIS PAULISTA/SP X FAZ. NOVA HORIZONTE"/>
    <n v="7024"/>
    <x v="36"/>
    <s v="0935"/>
    <n v="371055"/>
    <m/>
    <n v="594"/>
    <s v="KM"/>
    <n v="12.28"/>
    <n v="7294.32"/>
  </r>
  <r>
    <m/>
    <x v="119"/>
    <x v="17"/>
    <x v="2"/>
    <x v="5"/>
    <x v="1"/>
    <n v="1000238"/>
    <s v="SERV DESP PEDAGIO"/>
    <s v="PEDAGIO FRETE FAZ. SÃO BENEDITO III X FAZ. LIMEIRA"/>
    <m/>
    <x v="25"/>
    <n v="7901"/>
    <n v="371045"/>
    <m/>
    <n v="1"/>
    <s v="UA"/>
    <n v="330.7"/>
    <n v="330.7"/>
  </r>
  <r>
    <m/>
    <x v="119"/>
    <x v="17"/>
    <x v="0"/>
    <x v="5"/>
    <x v="1"/>
    <n v="1000287"/>
    <s v="SERV FRETE CAMINHAO PRANCHA AGRIC"/>
    <s v="FRETE  FRETE FAZ. SÃO BENEDITO III X FAZ. LIMEIRA"/>
    <n v="7010"/>
    <x v="45"/>
    <s v="0006"/>
    <n v="371045"/>
    <m/>
    <n v="347"/>
    <s v="KM"/>
    <n v="12.28"/>
    <n v="4261.16"/>
  </r>
  <r>
    <m/>
    <x v="119"/>
    <x v="17"/>
    <x v="2"/>
    <x v="5"/>
    <x v="1"/>
    <n v="1000238"/>
    <s v="SERV DESP PEDAGIO"/>
    <s v="PEDAGIO FRETE  FAZ. SÃO BENEDITO III X FAZ. LIMEIRA"/>
    <m/>
    <x v="25"/>
    <n v="7901"/>
    <n v="371045"/>
    <m/>
    <n v="1"/>
    <s v="UA"/>
    <n v="306.5"/>
    <n v="306.5"/>
  </r>
  <r>
    <m/>
    <x v="119"/>
    <x v="17"/>
    <x v="0"/>
    <x v="5"/>
    <x v="1"/>
    <n v="1000287"/>
    <s v="SERV FRETE CAMINHAO PRANCHA AGRIC"/>
    <s v="FRETE  FRETE FAZ. SÃO BENEDITO III X FAZ. LIMEIRA"/>
    <n v="7010"/>
    <x v="45"/>
    <s v="0006"/>
    <n v="371045"/>
    <m/>
    <n v="371"/>
    <s v="KM"/>
    <n v="12.28"/>
    <n v="4555.88"/>
  </r>
  <r>
    <m/>
    <x v="120"/>
    <x v="17"/>
    <x v="9"/>
    <x v="8"/>
    <x v="6"/>
    <s v="0200111"/>
    <s v="SERV CONFECCAO DE ADESIVOS"/>
    <s v="ADESIVO DE FROTA 37X12 cm  RECORTE PRETO VINIL"/>
    <m/>
    <x v="25"/>
    <n v="7901"/>
    <n v="371068"/>
    <m/>
    <n v="2"/>
    <s v="UA"/>
    <n v="14"/>
    <n v="28"/>
  </r>
  <r>
    <m/>
    <x v="120"/>
    <x v="17"/>
    <x v="9"/>
    <x v="8"/>
    <x v="6"/>
    <s v="0200111"/>
    <s v="SERV CONFECCAO DE ADESIVOS"/>
    <s v="ADESIVO DE FROTA 37X12 cm  RECORTE PRETO VINIL"/>
    <m/>
    <x v="25"/>
    <n v="7901"/>
    <n v="371068"/>
    <m/>
    <n v="2"/>
    <s v="UA"/>
    <n v="14"/>
    <n v="28"/>
  </r>
  <r>
    <m/>
    <x v="121"/>
    <x v="17"/>
    <x v="9"/>
    <x v="10"/>
    <x v="6"/>
    <s v="0200111"/>
    <s v="SERV CONFECCAO DE ADESIVOS"/>
    <s v="ADESIVO DE FROTA 37X12 cm  RECORTE PRETO VINIL"/>
    <m/>
    <x v="25"/>
    <n v="7901"/>
    <n v="375030"/>
    <m/>
    <n v="12"/>
    <s v="UA"/>
    <n v="14"/>
    <n v="168"/>
  </r>
  <r>
    <m/>
    <x v="122"/>
    <x v="17"/>
    <x v="9"/>
    <x v="4"/>
    <x v="6"/>
    <s v="0200111"/>
    <s v="SERV CONFECCAO DE ADESIVOS"/>
    <s v="ADESIVO EM IMPRESSÃO DIGITAL 21X15"/>
    <m/>
    <x v="25"/>
    <n v="7901"/>
    <n v="371065"/>
    <m/>
    <n v="10"/>
    <s v="UA"/>
    <n v="12.5"/>
    <n v="125"/>
  </r>
  <r>
    <m/>
    <x v="122"/>
    <x v="18"/>
    <x v="9"/>
    <x v="4"/>
    <x v="6"/>
    <s v="0200111"/>
    <s v="SERV CONFECCAO DE ADESIVOS"/>
    <s v="ADESIVO POLIMÉRICO COM IMPRESSÃO DIGITAL PARA MODULO E ARÉA  DE VIVÊNCIA 10X,6,5"/>
    <m/>
    <x v="25"/>
    <n v="7901"/>
    <n v="371065"/>
    <m/>
    <n v="70"/>
    <s v="UA"/>
    <n v="7.2"/>
    <n v="504"/>
  </r>
  <r>
    <m/>
    <x v="122"/>
    <x v="19"/>
    <x v="9"/>
    <x v="4"/>
    <x v="6"/>
    <s v="0200111"/>
    <s v="SERV CONFECCAO DE ADESIVOS"/>
    <s v="ADESIVO IMPRESSÃO DIGITAL 14X16"/>
    <m/>
    <x v="25"/>
    <n v="7901"/>
    <n v="371065"/>
    <m/>
    <n v="6"/>
    <s v="UA"/>
    <n v="6.72"/>
    <n v="40.32"/>
  </r>
  <r>
    <m/>
    <x v="122"/>
    <x v="20"/>
    <x v="9"/>
    <x v="4"/>
    <x v="6"/>
    <s v="0200111"/>
    <s v="SERV CONFECCAO DE ADESIVOS"/>
    <s v="ADESIVO C/ IMPRESSÃO DIGITAL RECORTE DE CONTORNO- KIT ABELHA PADRÃO SILVICULTURA "/>
    <m/>
    <x v="25"/>
    <n v="7901"/>
    <n v="371065"/>
    <m/>
    <n v="1"/>
    <s v="UA"/>
    <n v="11.5"/>
    <n v="11.5"/>
  </r>
  <r>
    <m/>
    <x v="122"/>
    <x v="21"/>
    <x v="9"/>
    <x v="4"/>
    <x v="6"/>
    <s v="0200111"/>
    <s v="SERV CONFECCAO DE ADESIVOS"/>
    <s v="KIT 15 ADESIVOS 4X2 110V/ 220V"/>
    <m/>
    <x v="25"/>
    <n v="7901"/>
    <n v="371065"/>
    <m/>
    <n v="2"/>
    <s v="UA"/>
    <n v="30"/>
    <n v="60"/>
  </r>
  <r>
    <m/>
    <x v="123"/>
    <x v="17"/>
    <x v="9"/>
    <x v="13"/>
    <x v="6"/>
    <s v="0200111"/>
    <s v="SERV CONFECCAO DE ADESIVOS"/>
    <s v="BANNER EM LONA- SEGURANÇA- PADRÃO BRACELL"/>
    <m/>
    <x v="25"/>
    <n v="7901"/>
    <n v="375060"/>
    <m/>
    <n v="2"/>
    <s v="UA"/>
    <n v="130"/>
    <n v="260"/>
  </r>
  <r>
    <m/>
    <x v="123"/>
    <x v="17"/>
    <x v="9"/>
    <x v="13"/>
    <x v="6"/>
    <s v="0200111"/>
    <s v="SERV CONFECCAO DE ADESIVOS"/>
    <s v="SUPORTE PARA BANNER "/>
    <m/>
    <x v="25"/>
    <n v="7901"/>
    <n v="375060"/>
    <m/>
    <n v="2"/>
    <s v="UA"/>
    <n v="190"/>
    <n v="380"/>
  </r>
  <r>
    <m/>
    <x v="123"/>
    <x v="17"/>
    <x v="9"/>
    <x v="4"/>
    <x v="6"/>
    <s v="0200111"/>
    <s v="SERV CONFECCAO DE ADESIVOS"/>
    <s v="PLACA DE SINALIZAÇÃO ADVERTÊNCIA "/>
    <m/>
    <x v="25"/>
    <n v="7901"/>
    <n v="371065"/>
    <m/>
    <n v="2"/>
    <s v="UA"/>
    <n v="278"/>
    <n v="556"/>
  </r>
  <r>
    <m/>
    <x v="123"/>
    <x v="17"/>
    <x v="9"/>
    <x v="4"/>
    <x v="6"/>
    <s v="0200111"/>
    <s v="SERV CONFECCAO DE ADESIVOS"/>
    <s v="PLACA DE SINALIZAÇÃO "/>
    <m/>
    <x v="25"/>
    <n v="7901"/>
    <n v="371065"/>
    <m/>
    <n v="3"/>
    <s v="UA"/>
    <n v="127"/>
    <n v="381"/>
  </r>
  <r>
    <m/>
    <x v="123"/>
    <x v="17"/>
    <x v="9"/>
    <x v="4"/>
    <x v="6"/>
    <s v="0200111"/>
    <s v="SERV CONFECCAO DE ADESIVOS"/>
    <s v="CAIXA PARA LIXO ORGÂNICO C/ TAMPA "/>
    <m/>
    <x v="25"/>
    <n v="7901"/>
    <n v="371065"/>
    <m/>
    <n v="1"/>
    <s v="UA"/>
    <n v="325"/>
    <n v="325"/>
  </r>
  <r>
    <m/>
    <x v="123"/>
    <x v="17"/>
    <x v="9"/>
    <x v="4"/>
    <x v="6"/>
    <s v="0200111"/>
    <s v="SERV CONFECCAO DE ADESIVOS"/>
    <s v="PLACA DE SINALIZAÇÃO- ADVERTÊNCIA "/>
    <m/>
    <x v="25"/>
    <n v="7901"/>
    <n v="371065"/>
    <m/>
    <n v="2"/>
    <s v="UA"/>
    <n v="278"/>
    <n v="556"/>
  </r>
  <r>
    <m/>
    <x v="124"/>
    <x v="17"/>
    <x v="9"/>
    <x v="5"/>
    <x v="6"/>
    <s v="0200111"/>
    <s v="SERV CONFECCAO DE ADESIVOS"/>
    <s v="ADESIVO DE FROTA 37X12 cm  RECORTE PRETO VINIL"/>
    <m/>
    <x v="25"/>
    <n v="7901"/>
    <n v="371045"/>
    <m/>
    <n v="2"/>
    <s v="UA"/>
    <n v="14"/>
    <n v="28"/>
  </r>
  <r>
    <m/>
    <x v="124"/>
    <x v="17"/>
    <x v="9"/>
    <x v="5"/>
    <x v="6"/>
    <s v="0200111"/>
    <s v="SERV CONFECCAO DE ADESIVOS"/>
    <s v="ADESIVO- FROTA BTF 16X0,8"/>
    <m/>
    <x v="25"/>
    <n v="7901"/>
    <n v="371045"/>
    <m/>
    <n v="4"/>
    <s v="UA"/>
    <n v="3.85"/>
    <n v="15.4"/>
  </r>
  <r>
    <m/>
    <x v="124"/>
    <x v="17"/>
    <x v="9"/>
    <x v="5"/>
    <x v="6"/>
    <s v="0200111"/>
    <s v="SERV CONFECCAO DE ADESIVOS"/>
    <s v="ADESIVO 24X15"/>
    <m/>
    <x v="25"/>
    <n v="7901"/>
    <n v="371045"/>
    <m/>
    <n v="1"/>
    <s v="UA"/>
    <n v="14"/>
    <n v="1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">
  <r>
    <m/>
    <m/>
    <d v="2025-03-10T00:00:00"/>
    <s v="SINALIZACAO"/>
    <x v="0"/>
    <x v="0"/>
    <s v="10129404 - SINALFLORA"/>
    <s v="0200111"/>
    <s v="SERV CONFECCAO DE ADESIVOS"/>
    <s v="CAVALETES CONFEC. EM CHAPA DE AÇO "/>
    <m/>
    <s v="LENÇÓIS PAULISTA "/>
    <n v="7901"/>
    <n v="371011"/>
    <m/>
    <n v="1"/>
    <s v="UA"/>
    <n v="278"/>
    <n v="278"/>
  </r>
  <r>
    <m/>
    <m/>
    <d v="2025-03-10T00:00:00"/>
    <s v="SINALIZACAO"/>
    <x v="0"/>
    <x v="0"/>
    <s v="10129404 - SINALFLORA"/>
    <s v="0200111"/>
    <s v="SERV CONFECCAO DE ADESIVOS"/>
    <s v="FAIXA REFLETIVA"/>
    <m/>
    <s v="LENÇÓIS PAULISTA "/>
    <n v="7901"/>
    <n v="371011"/>
    <m/>
    <n v="40"/>
    <s v="UA"/>
    <n v="5.5"/>
    <n v="220"/>
  </r>
  <r>
    <m/>
    <m/>
    <d v="2025-03-10T00:00:00"/>
    <s v="SINALIZACAO"/>
    <x v="1"/>
    <x v="1"/>
    <s v="10129404 - SINALFLORA"/>
    <s v="0200111"/>
    <s v="SERV CONFECCAO DE ADESIVOS"/>
    <s v="CONE SINALIZAÇÃO"/>
    <m/>
    <s v="LENÇÓIS PAULISTA "/>
    <n v="7901"/>
    <n v="371011"/>
    <m/>
    <n v="15"/>
    <s v="UA"/>
    <n v="45"/>
    <n v="675"/>
  </r>
  <r>
    <m/>
    <m/>
    <d v="2025-03-10T00:00:00"/>
    <s v="SINALIZACAO"/>
    <x v="1"/>
    <x v="1"/>
    <s v="10129404 - SINALFLORA"/>
    <s v="0200111"/>
    <s v="SERV CONFECCAO DE ADESIVOS"/>
    <s v="QUADROS DE Acm, Branco com laminação para escritas, 70x50cm personalizado -pc"/>
    <m/>
    <s v="LENÇÓIS PAULISTA "/>
    <n v="7901"/>
    <n v="371011"/>
    <m/>
    <n v="1"/>
    <s v="UA"/>
    <n v="420"/>
    <n v="420"/>
  </r>
  <r>
    <m/>
    <m/>
    <d v="2025-03-10T00:00:00"/>
    <s v="SINALIZACAO"/>
    <x v="1"/>
    <x v="1"/>
    <s v="10129404 - SINALFLORA"/>
    <s v="0200111"/>
    <s v="SERV CONFECCAO DE ADESIVOS"/>
    <s v="CAIXA DE MASSA REFORÇADA "/>
    <m/>
    <s v="LENÇÓIS PAULISTA "/>
    <n v="7901"/>
    <n v="371011"/>
    <m/>
    <n v="16"/>
    <s v="UA"/>
    <n v="32.4"/>
    <n v="518.4"/>
  </r>
  <r>
    <m/>
    <m/>
    <d v="2025-03-10T00:00:00"/>
    <s v="SINALIZACAO"/>
    <x v="1"/>
    <x v="1"/>
    <s v="10129404 - SINALFLORA"/>
    <s v="0200111"/>
    <s v="SERV CONFECCAO DE ADESIVOS"/>
    <s v="PÁ DE PRASTICA"/>
    <m/>
    <s v="LENÇÓIS PAULISTA "/>
    <n v="7901"/>
    <n v="371011"/>
    <m/>
    <n v="16"/>
    <s v="UA"/>
    <n v="142"/>
    <n v="2272"/>
  </r>
  <r>
    <m/>
    <m/>
    <d v="2025-03-10T00:00:00"/>
    <s v="SINALIZACAO"/>
    <x v="1"/>
    <x v="1"/>
    <s v="10129404 - SINALFLORA"/>
    <s v="0200111"/>
    <s v="SERV CONFECCAO DE ADESIVOS"/>
    <s v="CADEADO "/>
    <m/>
    <s v="LENÇÓIS PAULISTA "/>
    <n v="7901"/>
    <n v="371011"/>
    <m/>
    <n v="10"/>
    <s v="UA"/>
    <n v="51"/>
    <n v="510"/>
  </r>
  <r>
    <m/>
    <m/>
    <d v="2025-03-10T00:00:00"/>
    <s v="SINALIZACAO"/>
    <x v="1"/>
    <x v="1"/>
    <s v="10129404 - SINALFLORA"/>
    <s v="0200111"/>
    <s v="SERV CONFECCAO DE ADESIVOS"/>
    <s v="ACRÍLICO FOLHA A4 "/>
    <m/>
    <s v="LENÇÓIS PAULISTA "/>
    <n v="7901"/>
    <n v="371011"/>
    <m/>
    <n v="5"/>
    <s v="UA"/>
    <n v="74.8"/>
    <n v="374"/>
  </r>
  <r>
    <m/>
    <m/>
    <d v="2025-03-24T00:00:00"/>
    <s v="SINALIZACAO"/>
    <x v="2"/>
    <x v="0"/>
    <s v="10129404 - SINALFLORA"/>
    <s v="0200111"/>
    <s v="SERV CONFECCAO DE ADESIVOS"/>
    <s v="CAVALETES EM METALON 20X20X16MM,COM CHAPA DE AÇO REFLETIDA"/>
    <m/>
    <s v="LENÇÓIS PAULISTA "/>
    <n v="7901"/>
    <n v="371011"/>
    <m/>
    <n v="2"/>
    <s v="UA"/>
    <n v="278"/>
    <n v="556"/>
  </r>
  <r>
    <m/>
    <m/>
    <d v="2025-03-24T00:00:00"/>
    <s v="SINALIZACAO"/>
    <x v="2"/>
    <x v="0"/>
    <s v="10129404 - SINALFLORA"/>
    <s v="0200111"/>
    <s v="SERV CONFECCAO DE ADESIVOS"/>
    <s v="Placa 40x30 tipo estaca com cantoneira"/>
    <m/>
    <s v="LENÇÓIS PAULISTA "/>
    <n v="7901"/>
    <n v="371011"/>
    <m/>
    <n v="1"/>
    <s v="UA"/>
    <n v="172"/>
    <n v="172"/>
  </r>
  <r>
    <m/>
    <m/>
    <d v="2025-03-24T00:00:00"/>
    <s v="SINALIZACAO"/>
    <x v="2"/>
    <x v="0"/>
    <s v="10129404 - SINALFLORA"/>
    <s v="0200111"/>
    <s v="SERV CONFECCAO DE ADESIVOS"/>
    <s v="SEVIÇOS DE PLACAS DE SINALIZAÇÃO DE ADVERTENCIA"/>
    <m/>
    <s v="LENÇÓIS PAULISTA "/>
    <n v="7901"/>
    <n v="371011"/>
    <m/>
    <n v="2"/>
    <s v="UA"/>
    <n v="28"/>
    <n v="56"/>
  </r>
  <r>
    <m/>
    <m/>
    <d v="2025-03-19T00:00:00"/>
    <s v="SINALIZACAO"/>
    <x v="3"/>
    <x v="0"/>
    <s v="10129404 - SINALFLORA"/>
    <s v="0200111"/>
    <s v="SERV CONFECCAO DE ADESIVOS"/>
    <s v="ADESIVOS DIVERSOS"/>
    <m/>
    <s v="LENÇÓIS PAULISTA "/>
    <n v="7901"/>
    <n v="371011"/>
    <m/>
    <n v="24"/>
    <s v="UA"/>
    <n v="2.5"/>
    <n v="60"/>
  </r>
  <r>
    <m/>
    <m/>
    <d v="2025-03-19T00:00:00"/>
    <s v="SINALIZACAO"/>
    <x v="3"/>
    <x v="0"/>
    <s v="10129404 - SINALFLORA"/>
    <s v="0200111"/>
    <s v="SERV CONFECCAO DE ADESIVOS"/>
    <s v="ADESIVOS DIVERSOS"/>
    <m/>
    <s v="LENÇÓIS PAULISTA "/>
    <n v="7901"/>
    <n v="371011"/>
    <m/>
    <n v="30"/>
    <s v="UA"/>
    <n v="12"/>
    <n v="360"/>
  </r>
  <r>
    <m/>
    <m/>
    <d v="2025-03-19T00:00:00"/>
    <s v="SINALIZACAO"/>
    <x v="3"/>
    <x v="0"/>
    <s v="10129404 - SINALFLORA"/>
    <s v="0200111"/>
    <s v="SERV CONFECCAO DE ADESIVOS"/>
    <s v="ADESIVOS DIVERSOS"/>
    <m/>
    <s v="LENÇÓIS PAULISTA "/>
    <n v="7901"/>
    <n v="371011"/>
    <m/>
    <n v="12"/>
    <s v="UA"/>
    <n v="4.9000000000000004"/>
    <n v="58.800000000000004"/>
  </r>
  <r>
    <m/>
    <m/>
    <d v="2025-03-19T00:00:00"/>
    <s v="SINALIZACAO"/>
    <x v="3"/>
    <x v="0"/>
    <s v="10129404 - SINALFLORA"/>
    <s v="0200111"/>
    <s v="SERV CONFECCAO DE ADESIVOS"/>
    <s v="PLACA EM ACM - INDICATIVA /ADVERTÊNCIA"/>
    <m/>
    <s v="LENÇÓIS PAULISTA "/>
    <n v="7901"/>
    <n v="371011"/>
    <m/>
    <n v="16"/>
    <s v="UA"/>
    <n v="127"/>
    <n v="2032"/>
  </r>
  <r>
    <m/>
    <m/>
    <d v="2025-03-21T00:00:00"/>
    <s v="SINALIZACAO"/>
    <x v="2"/>
    <x v="0"/>
    <s v="10129404 - SINALFLORA"/>
    <s v="0200111"/>
    <s v="SERV CONFECCAO DE ADESIVOS"/>
    <s v="PLACA EM ACM - INDICATIVA /ADVERTÊNCIA"/>
    <m/>
    <s v="LENÇÓIS PAULISTA "/>
    <n v="7901"/>
    <n v="371011"/>
    <m/>
    <n v="8"/>
    <s v="UA"/>
    <n v="127"/>
    <n v="1016"/>
  </r>
  <r>
    <m/>
    <m/>
    <d v="2025-03-21T00:00:00"/>
    <s v="SINALIZACAO"/>
    <x v="2"/>
    <x v="0"/>
    <s v="10129404 - SINALFLORA"/>
    <s v="0200111"/>
    <s v="SERV CONFECCAO DE ADESIVOS"/>
    <s v="ADESIVOS DIVERSOS -30X20cm"/>
    <m/>
    <s v="LENÇÓIS PAULISTA "/>
    <n v="7901"/>
    <n v="371011"/>
    <m/>
    <n v="10"/>
    <s v="UA"/>
    <n v="18"/>
    <n v="180"/>
  </r>
  <r>
    <m/>
    <m/>
    <d v="2025-03-21T00:00:00"/>
    <s v="SINALIZACAO"/>
    <x v="2"/>
    <x v="0"/>
    <s v="10129404 - SINALFLORA"/>
    <s v="0200111"/>
    <s v="SERV CONFECCAO DE ADESIVOS"/>
    <s v="CAIXA DE MASSA REFORÇADA 20L PRETA"/>
    <m/>
    <s v="LENÇÓIS PAULISTA "/>
    <n v="7901"/>
    <n v="371011"/>
    <m/>
    <n v="3"/>
    <s v="UA"/>
    <n v="31.4"/>
    <n v="94.199999999999989"/>
  </r>
  <r>
    <m/>
    <m/>
    <d v="2025-03-21T00:00:00"/>
    <s v="SINALIZACAO"/>
    <x v="2"/>
    <x v="0"/>
    <s v="10129404 - SINALFLORA"/>
    <s v="0200111"/>
    <s v="SERV CONFECCAO DE ADESIVOS"/>
    <s v="Placa de acrílico 2mm cristal, com dupla face, A4"/>
    <m/>
    <s v="LENÇÓIS PAULISTA "/>
    <n v="7901"/>
    <n v="371011"/>
    <m/>
    <n v="10"/>
    <s v="UA"/>
    <n v="47"/>
    <n v="470"/>
  </r>
  <r>
    <m/>
    <m/>
    <d v="2025-03-13T00:00:00"/>
    <s v="SINALIZACAO"/>
    <x v="2"/>
    <x v="0"/>
    <s v="10129404 - SINALFLORA"/>
    <s v="0200111"/>
    <s v="SERV CONFECCAO DE ADESIVOS"/>
    <s v="ADESIVOS DIVERSOS 20X10"/>
    <m/>
    <s v="LENÇÓIS PAULISTA "/>
    <n v="7901"/>
    <n v="371011"/>
    <m/>
    <n v="17"/>
    <s v="UA"/>
    <n v="12"/>
    <n v="204"/>
  </r>
  <r>
    <m/>
    <m/>
    <d v="2025-03-13T00:00:00"/>
    <s v="SINALIZACAO"/>
    <x v="2"/>
    <x v="0"/>
    <s v="10129404 - SINALFLORA"/>
    <s v="0200111"/>
    <s v="SERV CONFECCAO DE ADESIVOS"/>
    <s v="ADESIVOS DIVERSOS - 10X6,5"/>
    <m/>
    <s v="LENÇÓIS PAULISTA "/>
    <n v="7901"/>
    <n v="371011"/>
    <m/>
    <n v="8"/>
    <s v="UA"/>
    <n v="2.5"/>
    <n v="20"/>
  </r>
  <r>
    <m/>
    <m/>
    <d v="2025-03-13T00:00:00"/>
    <s v="SINALIZACAO"/>
    <x v="2"/>
    <x v="0"/>
    <s v="10129404 - SINALFLORA"/>
    <s v="0200111"/>
    <s v="SERV CONFECCAO DE ADESIVOS"/>
    <s v="adesivos diversos 20x20cm"/>
    <m/>
    <s v="LENÇÓIS PAULISTA "/>
    <n v="7901"/>
    <n v="371011"/>
    <m/>
    <n v="4"/>
    <s v="UA"/>
    <n v="16"/>
    <n v="64"/>
  </r>
  <r>
    <m/>
    <m/>
    <d v="2025-03-13T00:00:00"/>
    <s v="SINALIZACAO"/>
    <x v="2"/>
    <x v="0"/>
    <s v="10129404 - SINALFLORA"/>
    <s v="0200111"/>
    <s v="SERV CONFECCAO DE ADESIVOS"/>
    <s v="ADESIVO DEGRAU (UTILIZE OS TRES PONTOS DE APOIO )"/>
    <m/>
    <s v="LENÇÓIS PAULISTA "/>
    <n v="7901"/>
    <n v="371011"/>
    <m/>
    <n v="10"/>
    <s v="UA"/>
    <n v="16.2"/>
    <n v="162"/>
  </r>
  <r>
    <m/>
    <m/>
    <d v="2025-03-13T00:00:00"/>
    <s v="SINALIZACAO"/>
    <x v="2"/>
    <x v="0"/>
    <s v="10129404 - SINALFLORA"/>
    <s v="0200111"/>
    <s v="SERV CONFECCAO DE ADESIVOS"/>
    <s v="ADESIVO EM IMPRESSÃO DIGITAL 30X15 cm"/>
    <m/>
    <s v="LENÇÓIS PAULISTA "/>
    <n v="7901"/>
    <n v="371011"/>
    <m/>
    <n v="10"/>
    <s v="UA"/>
    <n v="13.5"/>
    <n v="135"/>
  </r>
  <r>
    <m/>
    <m/>
    <d v="2025-03-13T00:00:00"/>
    <s v="SINALIZACAO"/>
    <x v="2"/>
    <x v="0"/>
    <s v="10129404 - SINALFLORA"/>
    <s v="0200111"/>
    <s v="SERV CONFECCAO DE ADESIVOS"/>
    <s v="ADESIVO EM IMPRESSÃO DIGITAL 30X30 cm"/>
    <m/>
    <s v="LENÇÓIS PAULISTA "/>
    <n v="7901"/>
    <n v="371011"/>
    <m/>
    <n v="10"/>
    <s v="UA"/>
    <n v="27"/>
    <n v="270"/>
  </r>
  <r>
    <m/>
    <m/>
    <d v="2025-03-13T00:00:00"/>
    <s v="SINALIZACAO"/>
    <x v="2"/>
    <x v="0"/>
    <s v="10129404 - SINALFLORA"/>
    <s v="0200111"/>
    <s v="SERV CONFECCAO DE ADESIVOS"/>
    <s v="ADESIVO ABELHA 40X30"/>
    <m/>
    <s v="LENÇÓIS PAULISTA "/>
    <n v="7901"/>
    <n v="371011"/>
    <m/>
    <n v="10"/>
    <s v="UA"/>
    <n v="30"/>
    <n v="300"/>
  </r>
  <r>
    <m/>
    <m/>
    <d v="2025-03-13T00:00:00"/>
    <s v="SINALIZACAO"/>
    <x v="2"/>
    <x v="0"/>
    <s v="10129404 - SINALFLORA"/>
    <s v="0200111"/>
    <s v="SERV CONFECCAO DE ADESIVOS"/>
    <s v="PLACA DE SINALIZAÇÃO - INDICATIVA(LIXO ORGÂNICO)"/>
    <m/>
    <s v="LENÇÓIS PAULISTA "/>
    <n v="7901"/>
    <n v="371011"/>
    <m/>
    <n v="1"/>
    <s v="UA"/>
    <n v="127"/>
    <n v="127"/>
  </r>
  <r>
    <m/>
    <m/>
    <d v="2025-03-13T00:00:00"/>
    <s v="SINALIZACAO"/>
    <x v="2"/>
    <x v="0"/>
    <s v="10129404 - SINALFLORA"/>
    <s v="0200111"/>
    <s v="SERV CONFECCAO DE ADESIVOS"/>
    <s v="CAIXA PARA LIXO ORGÂNICO C/ TAMPA - MÓDULO DE COLHEITA"/>
    <m/>
    <s v="LENÇÓIS PAULISTA "/>
    <n v="7901"/>
    <n v="371011"/>
    <m/>
    <n v="1"/>
    <s v="UA"/>
    <n v="325"/>
    <n v="325"/>
  </r>
  <r>
    <m/>
    <m/>
    <d v="2025-03-13T00:00:00"/>
    <s v="SINALIZACAO"/>
    <x v="2"/>
    <x v="0"/>
    <s v="10129404 - SINALFLORA"/>
    <s v="0200111"/>
    <s v="SERV CONFECCAO DE ADESIVOS"/>
    <s v="PLACA DE SINALIZAÇÃO ADVERTÊNCIA (ÁREA DE FUMANTES)"/>
    <m/>
    <s v="LENÇÓIS PAULISTA "/>
    <n v="7901"/>
    <n v="371011"/>
    <m/>
    <n v="1"/>
    <s v="UA"/>
    <n v="127"/>
    <n v="127"/>
  </r>
  <r>
    <m/>
    <m/>
    <d v="2025-03-10T00:00:00"/>
    <s v="SINALIZACAO"/>
    <x v="2"/>
    <x v="0"/>
    <s v="10129404 - SINALFLORA"/>
    <s v="0200111"/>
    <s v="SERV CONFECCAO DE ADESIVOS"/>
    <s v="PLACA INDICATIVA - ESTACIONAMENTO"/>
    <m/>
    <s v="LENÇÓIS PAULISTA "/>
    <n v="7901"/>
    <n v="371011"/>
    <m/>
    <n v="2"/>
    <s v="UA"/>
    <n v="227"/>
    <n v="454"/>
  </r>
  <r>
    <m/>
    <m/>
    <d v="2025-03-10T00:00:00"/>
    <s v="SINALIZACAO"/>
    <x v="2"/>
    <x v="0"/>
    <s v="10129404 - SINALFLORA"/>
    <s v="0200111"/>
    <s v="SERV CONFECCAO DE ADESIVOS"/>
    <s v="ADESIVOS DIVERSOS - 50X15cm"/>
    <m/>
    <s v="LENÇÓIS PAULISTA "/>
    <n v="7901"/>
    <n v="371011"/>
    <m/>
    <n v="12"/>
    <s v="UA"/>
    <n v="22.5"/>
    <n v="270"/>
  </r>
  <r>
    <m/>
    <m/>
    <d v="2025-03-10T00:00:00"/>
    <s v="SINALIZACAO"/>
    <x v="2"/>
    <x v="0"/>
    <s v="10129404 - SINALFLORA"/>
    <s v="0200111"/>
    <s v="SERV CONFECCAO DE ADESIVOS"/>
    <s v="ADESIVO DEGRAU (SOMENTE SOLTAR AS MÃOS DOS PONTOS DE APOIO E GRAR O CORPO APÓS ESTAR ESTAR COM OS PÉS APOIADOS NO SOLO )"/>
    <m/>
    <s v="LENÇÓIS PAULISTA "/>
    <n v="7901"/>
    <n v="371011"/>
    <m/>
    <n v="12"/>
    <s v="UA"/>
    <n v="8.5"/>
    <n v="102"/>
  </r>
  <r>
    <m/>
    <m/>
    <d v="2025-03-10T00:00:00"/>
    <s v="SINALIZACAO"/>
    <x v="2"/>
    <x v="0"/>
    <s v="10129404 - SINALFLORA"/>
    <s v="0200111"/>
    <s v="SERV CONFECCAO DE ADESIVOS"/>
    <s v="ADESIVOS DIVERSOS 20X10"/>
    <m/>
    <s v="LENÇÓIS PAULISTA "/>
    <n v="7901"/>
    <n v="371011"/>
    <m/>
    <n v="12"/>
    <s v="UA"/>
    <n v="12"/>
    <n v="144"/>
  </r>
  <r>
    <m/>
    <m/>
    <d v="2025-03-10T00:00:00"/>
    <s v="SINALIZACAO"/>
    <x v="2"/>
    <x v="0"/>
    <s v="10129404 - SINALFLORA"/>
    <s v="0200111"/>
    <s v="SERV CONFECCAO DE ADESIVOS"/>
    <s v="ADESIVO 6X5 DIVERSOS IMPRESSÃO DIGITAL"/>
    <m/>
    <s v="LENÇÓIS PAULISTA "/>
    <n v="7901"/>
    <n v="371011"/>
    <m/>
    <n v="12"/>
    <s v="UA"/>
    <n v="1"/>
    <n v="12"/>
  </r>
  <r>
    <m/>
    <m/>
    <d v="2025-03-10T00:00:00"/>
    <s v="SINALIZACAO"/>
    <x v="2"/>
    <x v="0"/>
    <s v="10129404 - SINALFLORA"/>
    <s v="0200111"/>
    <s v="SERV CONFECCAO DE ADESIVOS"/>
    <s v="ADESIVOS RECORTE ELETRÔNICO BRANCO REFLETIVO DESTRUTÍVEL 6x6"/>
    <m/>
    <s v="LENÇÓIS PAULISTA "/>
    <n v="7901"/>
    <n v="371011"/>
    <m/>
    <n v="12"/>
    <s v="UA"/>
    <n v="1.1000000000000001"/>
    <n v="13.200000000000001"/>
  </r>
  <r>
    <m/>
    <m/>
    <d v="2025-03-10T00:00:00"/>
    <s v="SINALIZACAO"/>
    <x v="2"/>
    <x v="0"/>
    <s v="10129404 - SINALFLORA"/>
    <s v="0200111"/>
    <s v="SERV CONFECCAO DE ADESIVOS"/>
    <s v="ADESIVOS DIVERSOS 13X8"/>
    <m/>
    <s v="LENÇÓIS PAULISTA "/>
    <n v="7901"/>
    <n v="371011"/>
    <m/>
    <n v="12"/>
    <s v="UA"/>
    <n v="3.15"/>
    <n v="37.799999999999997"/>
  </r>
  <r>
    <m/>
    <m/>
    <d v="2025-03-10T00:00:00"/>
    <s v="SINALIZACAO"/>
    <x v="2"/>
    <x v="0"/>
    <s v="10129404 - SINALFLORA"/>
    <s v="0200111"/>
    <s v="SERV CONFECCAO DE ADESIVOS"/>
    <s v="ADESIVO EM IMPRESSÃO DIGITAL 15X10 cm"/>
    <m/>
    <s v="LENÇÓIS PAULISTA "/>
    <n v="7901"/>
    <n v="371011"/>
    <m/>
    <n v="12"/>
    <s v="UA"/>
    <n v="4.5"/>
    <n v="54"/>
  </r>
  <r>
    <m/>
    <m/>
    <d v="2025-03-10T00:00:00"/>
    <s v="SINALIZACAO"/>
    <x v="2"/>
    <x v="0"/>
    <s v="10129404 - SINALFLORA"/>
    <s v="0200111"/>
    <s v="SERV CONFECCAO DE ADESIVOS"/>
    <s v="ADESIVOS RECORTE ELETRÔNICO BRANCO REFLETIVO DESTRUTÍVEL 6x6"/>
    <m/>
    <s v="LENÇÓIS PAULISTA "/>
    <n v="7901"/>
    <n v="371011"/>
    <m/>
    <n v="40"/>
    <s v="UA"/>
    <n v="1.1000000000000001"/>
    <n v="44"/>
  </r>
  <r>
    <m/>
    <m/>
    <d v="2025-03-10T00:00:00"/>
    <s v="SINALIZACAO"/>
    <x v="2"/>
    <x v="0"/>
    <s v="10129404 - SINALFLORA"/>
    <s v="0200111"/>
    <s v="SERV CONFECCAO DE ADESIVOS"/>
    <s v="FAIXA REFLETIVA PADRÃO DENATRAN VERMELHO/"/>
    <m/>
    <s v="LENÇÓIS PAULISTA "/>
    <n v="7901"/>
    <n v="371011"/>
    <m/>
    <n v="20"/>
    <s v="UA"/>
    <n v="5.5"/>
    <n v="110"/>
  </r>
  <r>
    <m/>
    <m/>
    <d v="2025-03-10T00:00:00"/>
    <s v="SINALIZACAO"/>
    <x v="2"/>
    <x v="0"/>
    <s v="10129404 - SINALFLORA"/>
    <s v="0200111"/>
    <s v="SERV CONFECCAO DE ADESIVOS"/>
    <s v="PLACA DE SINALIZAÇÃO ADVERTÊNCIA (REDE ELÉTRICA)"/>
    <m/>
    <s v="LENÇÓIS PAULISTA "/>
    <n v="7901"/>
    <n v="371011"/>
    <m/>
    <n v="4"/>
    <s v="UA"/>
    <n v="127"/>
    <n v="508"/>
  </r>
  <r>
    <m/>
    <m/>
    <d v="2025-03-07T00:00:00"/>
    <s v="SINALIZACAO"/>
    <x v="2"/>
    <x v="0"/>
    <s v="10129404 - SINALFLORA"/>
    <s v="0200111"/>
    <s v="SERV CONFECCAO DE ADESIVOS"/>
    <s v="ADESIVO EM IMPRESSÃO DIGITAL 15X10 cm"/>
    <m/>
    <s v="LENÇÓIS PAULISTA "/>
    <n v="7901"/>
    <n v="371011"/>
    <m/>
    <n v="1"/>
    <s v="UA"/>
    <n v="4.5"/>
    <n v="4.5"/>
  </r>
  <r>
    <m/>
    <m/>
    <d v="2025-03-07T00:00:00"/>
    <s v="SINALIZACAO"/>
    <x v="2"/>
    <x v="0"/>
    <s v="10129404 - SINALFLORA"/>
    <s v="0200111"/>
    <s v="SERV CONFECCAO DE ADESIVOS"/>
    <s v="CAVADEIRA ARTICULADA COM CABO"/>
    <m/>
    <s v="LENÇÓIS PAULISTA "/>
    <n v="7901"/>
    <n v="371011"/>
    <m/>
    <n v="1"/>
    <s v="UA"/>
    <n v="115.04"/>
    <n v="115.04"/>
  </r>
  <r>
    <m/>
    <m/>
    <d v="2025-03-07T00:00:00"/>
    <s v="SINALIZACAO"/>
    <x v="2"/>
    <x v="0"/>
    <s v="10129404 - SINALFLORA"/>
    <s v="0200111"/>
    <s v="SERV CONFECCAO DE ADESIVOS"/>
    <s v="PÁ DE PLÁSTICO CABO Y MADEIRA 79 cm EMPUNHADURA"/>
    <m/>
    <s v="LENÇÓIS PAULISTA "/>
    <n v="7901"/>
    <n v="371011"/>
    <m/>
    <n v="1"/>
    <s v="UA"/>
    <n v="142"/>
    <n v="142"/>
  </r>
  <r>
    <m/>
    <m/>
    <d v="2025-03-07T00:00:00"/>
    <s v="SINALIZACAO"/>
    <x v="2"/>
    <x v="0"/>
    <s v="10129404 - SINALFLORA"/>
    <s v="0200111"/>
    <s v="SERV CONFECCAO DE ADESIVOS"/>
    <s v="ENXADA LARGA 2,5LB COM CABO"/>
    <m/>
    <s v="LENÇÓIS PAULISTA "/>
    <n v="7901"/>
    <n v="371011"/>
    <m/>
    <n v="1"/>
    <s v="UA"/>
    <n v="89.44"/>
    <n v="89.44"/>
  </r>
  <r>
    <m/>
    <m/>
    <d v="2025-03-07T00:00:00"/>
    <s v="SINALIZACAO"/>
    <x v="2"/>
    <x v="0"/>
    <s v="10129404 - SINALFLORA"/>
    <s v="0200111"/>
    <s v="SERV CONFECCAO DE ADESIVOS"/>
    <s v="Pasta Sanfonada DAC A4 Com 12 Divisões"/>
    <m/>
    <s v="LENÇÓIS PAULISTA "/>
    <n v="7901"/>
    <n v="371011"/>
    <m/>
    <n v="1"/>
    <s v="UA"/>
    <n v="45"/>
    <n v="45"/>
  </r>
  <r>
    <m/>
    <m/>
    <d v="2025-03-07T00:00:00"/>
    <s v="SINALIZACAO"/>
    <x v="4"/>
    <x v="2"/>
    <s v="10129404 - SINALFLORA"/>
    <s v="0200111"/>
    <s v="SERV CONFECCAO DE ADESIVOS"/>
    <s v="ADESIVOS DIVERSOS - 10X6,5"/>
    <m/>
    <s v="LENÇÓIS PAULISTA "/>
    <n v="7901"/>
    <n v="371011"/>
    <m/>
    <n v="15"/>
    <s v="UA"/>
    <n v="2.5"/>
    <n v="37.5"/>
  </r>
  <r>
    <m/>
    <m/>
    <d v="2025-03-07T00:00:00"/>
    <s v="SINALIZACAO"/>
    <x v="4"/>
    <x v="2"/>
    <s v="10129404 - SINALFLORA"/>
    <s v="0200111"/>
    <s v="SERV CONFECCAO DE ADESIVOS"/>
    <s v="ADESIVOS DIVERSOS - 10X6,5"/>
    <m/>
    <s v="LENÇÓIS PAULISTA "/>
    <n v="7901"/>
    <n v="371011"/>
    <m/>
    <n v="15"/>
    <s v="UA"/>
    <n v="2.5"/>
    <n v="37.5"/>
  </r>
  <r>
    <m/>
    <m/>
    <d v="2025-03-07T00:00:00"/>
    <s v="SINALIZACAO"/>
    <x v="4"/>
    <x v="2"/>
    <s v="10129404 - SINALFLORA"/>
    <s v="0200111"/>
    <s v="SERV CONFECCAO DE ADESIVOS"/>
    <s v="ADESIVO EM IMPRESSÃO DIGITAL 20X15cm"/>
    <m/>
    <s v="LENÇÓIS PAULISTA "/>
    <n v="7901"/>
    <n v="371011"/>
    <m/>
    <n v="16"/>
    <s v="UA"/>
    <n v="11.5"/>
    <n v="184"/>
  </r>
  <r>
    <m/>
    <m/>
    <d v="2025-03-07T00:00:00"/>
    <s v="SINALIZACAO"/>
    <x v="4"/>
    <x v="2"/>
    <s v="10129404 - SINALFLORA"/>
    <s v="0200111"/>
    <s v="SERV CONFECCAO DE ADESIVOS"/>
    <s v="ADESIVO EM IMPRESSÃO DIGITAL 20X15cm"/>
    <m/>
    <s v="LENÇÓIS PAULISTA "/>
    <n v="7901"/>
    <n v="371011"/>
    <m/>
    <n v="16"/>
    <s v="UA"/>
    <n v="11.5"/>
    <n v="184"/>
  </r>
  <r>
    <m/>
    <m/>
    <d v="2025-03-07T00:00:00"/>
    <s v="SINALIZACAO"/>
    <x v="4"/>
    <x v="2"/>
    <s v="10129404 - SINALFLORA"/>
    <s v="0200111"/>
    <s v="SERV CONFECCAO DE ADESIVOS"/>
    <s v="BANNER EM LONA - SEGURANÇA - PADRÃO BRACELL 1,0 X 1,4 M - COM 12 BOLSAS PLASTICAS COSTURADAS"/>
    <m/>
    <s v="LENÇÓIS PAULISTA "/>
    <n v="7901"/>
    <n v="371011"/>
    <m/>
    <n v="1"/>
    <s v="UA"/>
    <n v="377"/>
    <n v="377"/>
  </r>
  <r>
    <m/>
    <m/>
    <d v="2025-02-25T00:00:00"/>
    <s v="SINALIZACAO"/>
    <x v="5"/>
    <x v="0"/>
    <s v="10129404 - SINALFLORA"/>
    <s v="0200111"/>
    <s v="SERV CONFECCAO DE ADESIVOS"/>
    <s v="GALÃO TÉRMICO DE ÁGUA 5L."/>
    <m/>
    <s v="LENÇÓIS PAULISTA "/>
    <n v="7901"/>
    <n v="371011"/>
    <m/>
    <n v="10"/>
    <s v="UA"/>
    <n v="79"/>
    <n v="790"/>
  </r>
  <r>
    <m/>
    <m/>
    <d v="2025-02-25T00:00:00"/>
    <s v="SINALIZACAO"/>
    <x v="5"/>
    <x v="0"/>
    <s v="10129404 - SINALFLORA"/>
    <s v="0200111"/>
    <s v="SERV CONFECCAO DE ADESIVOS"/>
    <s v="TRENA EMBORRACHADA DE AÇO - AUTOTRAVA - DE BOLSO 8M x 25mm"/>
    <m/>
    <s v="LENÇÓIS PAULISTA "/>
    <n v="7901"/>
    <n v="371011"/>
    <m/>
    <n v="4"/>
    <s v="UA"/>
    <n v="88.48"/>
    <n v="353.92"/>
  </r>
  <r>
    <m/>
    <m/>
    <d v="2025-02-25T00:00:00"/>
    <s v="SINALIZACAO"/>
    <x v="5"/>
    <x v="0"/>
    <s v="10129404 - SINALFLORA"/>
    <s v="0200111"/>
    <s v="SERV CONFECCAO DE ADESIVOS"/>
    <s v="CAVADEIRA ARTICULADA COM CABO"/>
    <m/>
    <s v="LENÇÓIS PAULISTA "/>
    <n v="7901"/>
    <n v="371011"/>
    <m/>
    <n v="2"/>
    <s v="UA"/>
    <n v="115.04"/>
    <n v="230.08"/>
  </r>
  <r>
    <m/>
    <m/>
    <d v="2025-02-25T00:00:00"/>
    <s v="SINALIZACAO"/>
    <x v="5"/>
    <x v="0"/>
    <s v="10129404 - SINALFLORA"/>
    <s v="0200111"/>
    <s v="SERV CONFECCAO DE ADESIVOS"/>
    <s v="ENXADA LARGA 2,5LB COM CABO"/>
    <m/>
    <s v="LENÇÓIS PAULISTA "/>
    <n v="7901"/>
    <n v="371011"/>
    <m/>
    <n v="2"/>
    <s v="UA"/>
    <n v="89.44"/>
    <n v="178.88"/>
  </r>
  <r>
    <m/>
    <m/>
    <d v="2025-02-25T00:00:00"/>
    <s v="SINALIZACAO"/>
    <x v="5"/>
    <x v="0"/>
    <s v="10129404 - SINALFLORA"/>
    <s v="0200111"/>
    <s v="SERV CONFECCAO DE ADESIVOS"/>
    <s v="VEJA MULTIUSO"/>
    <m/>
    <s v="LENÇÓIS PAULISTA "/>
    <n v="7901"/>
    <n v="371011"/>
    <m/>
    <n v="1"/>
    <s v="UA"/>
    <n v="14"/>
    <n v="14"/>
  </r>
  <r>
    <m/>
    <m/>
    <d v="2025-02-25T00:00:00"/>
    <s v="SINALIZACAO"/>
    <x v="5"/>
    <x v="0"/>
    <s v="10129404 - SINALFLORA"/>
    <s v="0200111"/>
    <s v="SERV CONFECCAO DE ADESIVOS"/>
    <s v="DETERGENTE"/>
    <m/>
    <s v="LENÇÓIS PAULISTA "/>
    <n v="7901"/>
    <n v="371011"/>
    <m/>
    <n v="1"/>
    <s v="UA"/>
    <n v="4.5"/>
    <n v="4.5"/>
  </r>
  <r>
    <m/>
    <m/>
    <d v="2025-02-25T00:00:00"/>
    <s v="SINALIZACAO"/>
    <x v="5"/>
    <x v="0"/>
    <s v="10129404 - SINALFLORA"/>
    <s v="0200111"/>
    <s v="SERV CONFECCAO DE ADESIVOS"/>
    <s v="ÁLCOOL EM GEL"/>
    <m/>
    <s v="LENÇÓIS PAULISTA "/>
    <n v="7901"/>
    <n v="371011"/>
    <m/>
    <n v="1"/>
    <s v="UA"/>
    <n v="13.42"/>
    <n v="13.42"/>
  </r>
  <r>
    <m/>
    <m/>
    <d v="2025-02-25T00:00:00"/>
    <s v="SINALIZACAO"/>
    <x v="5"/>
    <x v="0"/>
    <s v="10129404 - SINALFLORA"/>
    <s v="0200111"/>
    <s v="SERV CONFECCAO DE ADESIVOS"/>
    <s v="VASSOURA"/>
    <m/>
    <s v="LENÇÓIS PAULISTA "/>
    <n v="7901"/>
    <n v="371011"/>
    <m/>
    <n v="1"/>
    <s v="UA"/>
    <n v="30.24"/>
    <n v="30.24"/>
  </r>
  <r>
    <m/>
    <m/>
    <d v="2025-02-25T00:00:00"/>
    <s v="SINALIZACAO"/>
    <x v="5"/>
    <x v="0"/>
    <s v="10129404 - SINALFLORA"/>
    <s v="0200111"/>
    <s v="SERV CONFECCAO DE ADESIVOS"/>
    <s v="PÁ PEQUENA"/>
    <m/>
    <s v="LENÇÓIS PAULISTA "/>
    <n v="7901"/>
    <n v="371011"/>
    <m/>
    <n v="1"/>
    <s v="UA"/>
    <n v="15.96"/>
    <n v="15.96"/>
  </r>
  <r>
    <m/>
    <m/>
    <d v="2025-02-25T00:00:00"/>
    <s v="SINALIZACAO"/>
    <x v="5"/>
    <x v="0"/>
    <s v="10129404 - SINALFLORA"/>
    <s v="0200111"/>
    <s v="SERV CONFECCAO DE ADESIVOS"/>
    <s v="SACO DE LIXO - PLÁSTICO - 100 LTS - PCTE COM 1 KG"/>
    <m/>
    <s v="LENÇÓIS PAULISTA "/>
    <n v="7901"/>
    <n v="371011"/>
    <m/>
    <n v="1"/>
    <s v="UA"/>
    <n v="37.770000000000003"/>
    <n v="37.770000000000003"/>
  </r>
  <r>
    <m/>
    <m/>
    <d v="2025-02-25T00:00:00"/>
    <s v="SINALIZACAO"/>
    <x v="6"/>
    <x v="3"/>
    <s v="10129404 - SINALFLORA"/>
    <s v="0200111"/>
    <s v="SERV CONFECCAO DE ADESIVOS"/>
    <s v="BANNER EM LONA - SEGURANÇA , CAMPANHA, ALERTAS - 0,9 X 1,2 M - COM ACABAMENTO BASTÃO CORDA E PONTEIRA"/>
    <m/>
    <s v="LENÇÓIS PAULISTA "/>
    <n v="7901"/>
    <n v="371011"/>
    <m/>
    <n v="33"/>
    <s v="UA"/>
    <n v="172.8"/>
    <n v="5702.4000000000005"/>
  </r>
  <r>
    <m/>
    <m/>
    <d v="2025-02-25T00:00:00"/>
    <s v="SINALIZACAO"/>
    <x v="6"/>
    <x v="3"/>
    <s v="10129404 - SINALFLORA"/>
    <s v="0200111"/>
    <s v="SERV CONFECCAO DE ADESIVOS"/>
    <s v="FAIXAS EM IMPRESSÃO DIGITAL , COM ACABAMENTO EM MADEIRA , ILHÓS E PONTEIRA PLÁSTICA E REFORÇO LATERAL"/>
    <m/>
    <s v="LENÇÓIS PAULISTA "/>
    <n v="7901"/>
    <n v="371011"/>
    <m/>
    <n v="28"/>
    <s v="UA"/>
    <n v="228"/>
    <n v="6384"/>
  </r>
  <r>
    <m/>
    <m/>
    <d v="2025-02-25T00:00:00"/>
    <s v="SINALIZACAO"/>
    <x v="6"/>
    <x v="3"/>
    <s v="10129404 - SINALFLORA"/>
    <s v="0200111"/>
    <s v="SERV CONFECCAO DE ADESIVOS"/>
    <s v="PENDENCIA DO FECHAMENTO ANTERIOR"/>
    <m/>
    <s v="LENÇÓIS PAULISTA "/>
    <n v="7901"/>
    <n v="371011"/>
    <m/>
    <n v="1"/>
    <s v="UA"/>
    <n v="4197.8999999999996"/>
    <n v="4197.89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1611B0-7C44-4C8E-8315-2BF5A007E519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I18" firstHeaderRow="1" firstDataRow="4" firstDataCol="1" rowPageCount="2" colPageCount="1"/>
  <pivotFields count="22">
    <pivotField numFmtId="165" showAll="0"/>
    <pivotField axis="axisCol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numFmtId="167" multipleItemSelectionAllowe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multipleItemSelectionAllowed="1" showAll="0">
      <items count="12">
        <item x="1"/>
        <item h="1" x="4"/>
        <item x="0"/>
        <item h="1" x="5"/>
        <item x="2"/>
        <item h="1" x="6"/>
        <item h="1" x="3"/>
        <item x="7"/>
        <item h="1" x="8"/>
        <item h="1" x="9"/>
        <item h="1" x="10"/>
        <item t="default"/>
      </items>
    </pivotField>
    <pivotField axis="axisRow" showAll="0">
      <items count="15">
        <item x="0"/>
        <item x="2"/>
        <item x="1"/>
        <item x="8"/>
        <item x="9"/>
        <item m="1" x="13"/>
        <item x="4"/>
        <item m="1" x="12"/>
        <item x="5"/>
        <item x="7"/>
        <item x="3"/>
        <item x="6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4" showAll="0"/>
    <pivotField axis="axisCol" showAll="0">
      <items count="7">
        <item sd="0" x="0"/>
        <item sd="0" x="1"/>
        <item sd="0" x="2"/>
        <item x="3"/>
        <item sd="0" x="4"/>
        <item x="5"/>
        <item t="default"/>
      </items>
    </pivotField>
    <pivotField axis="axisCol" showAll="0">
      <items count="5">
        <item sd="0" x="0"/>
        <item sd="0" x="1"/>
        <item x="2"/>
        <item x="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t="default"/>
      </items>
    </pivotField>
  </pivotFields>
  <rowFields count="1">
    <field x="4"/>
  </rowFields>
  <rowItems count="11">
    <i>
      <x/>
    </i>
    <i>
      <x v="1"/>
    </i>
    <i>
      <x v="2"/>
    </i>
    <i>
      <x v="3"/>
    </i>
    <i>
      <x v="6"/>
    </i>
    <i>
      <x v="8"/>
    </i>
    <i>
      <x v="9"/>
    </i>
    <i>
      <x v="10"/>
    </i>
    <i>
      <x v="11"/>
    </i>
    <i>
      <x v="13"/>
    </i>
    <i t="grand">
      <x/>
    </i>
  </rowItems>
  <colFields count="3">
    <field x="19"/>
    <field x="18"/>
    <field x="1"/>
  </colFields>
  <colItems count="8">
    <i>
      <x v="1"/>
    </i>
    <i>
      <x v="2"/>
      <x v="1"/>
    </i>
    <i r="1">
      <x v="2"/>
    </i>
    <i r="1">
      <x v="3"/>
      <x v="7"/>
    </i>
    <i r="2">
      <x v="8"/>
    </i>
    <i t="default" r="1">
      <x v="3"/>
    </i>
    <i t="default">
      <x v="2"/>
    </i>
    <i t="grand">
      <x/>
    </i>
  </colItems>
  <pageFields count="2">
    <pageField fld="2" hier="-1"/>
    <pageField fld="3" hier="-1"/>
  </pageFields>
  <dataFields count="1">
    <dataField name="Soma de TOTAL" fld="17" baseField="0" baseItem="0" numFmtId="44"/>
  </dataFields>
  <formats count="1">
    <format dxfId="1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2EC93-60B2-4836-880C-EBC16ACB9733}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outline="1" outlineData="1" compactData="0" multipleFieldFilters="0">
  <location ref="K6:L15" firstHeaderRow="1" firstDataRow="1" firstDataCol="1" rowPageCount="2" colPageCount="1"/>
  <pivotFields count="18">
    <pivotField compact="0" numFmtId="165" showAll="0" defaultSubtotal="0"/>
    <pivotField compact="0" numFmtId="166" showAll="0" defaultSubtotal="0"/>
    <pivotField axis="axisPage" compact="0" numFmtId="167" multipleItemSelectionAllowed="1" showAll="0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Page" compact="0" multipleItemSelectionAllowed="1" showAll="0" defaultSubtotal="0">
      <items count="13">
        <item h="1" x="1"/>
        <item x="4"/>
        <item x="0"/>
        <item h="1" x="5"/>
        <item x="2"/>
        <item x="6"/>
        <item h="1" x="3"/>
        <item x="7"/>
        <item h="1" x="8"/>
        <item h="1" x="9"/>
        <item h="1" m="1" x="12"/>
        <item h="1" x="11"/>
        <item h="1" x="10"/>
      </items>
    </pivotField>
    <pivotField compact="0" showAll="0" defaultSubtotal="0"/>
    <pivotField axis="axisRow" compact="0" multipleItemSelectionAllowed="1" showAll="0" defaultSubtotal="0">
      <items count="11">
        <item x="4"/>
        <item x="7"/>
        <item m="1" x="10"/>
        <item x="8"/>
        <item x="1"/>
        <item x="2"/>
        <item x="6"/>
        <item x="0"/>
        <item x="3"/>
        <item x="5"/>
        <item m="1" x="9"/>
      </items>
    </pivotField>
    <pivotField compact="0" showAll="0" defaultSubtotal="0"/>
    <pivotField compact="0" multipleItemSelectionAllowed="1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showAll="0" defaultSubtotal="0"/>
    <pivotField compact="0" numFmtId="43" showAll="0" defaultSubtotal="0"/>
    <pivotField compact="0" showAll="0" defaultSubtotal="0"/>
    <pivotField compact="0" showAll="0" defaultSubtotal="0"/>
    <pivotField dataField="1" compact="0" numFmtId="44" showAll="0" defaultSubtotal="0"/>
  </pivotFields>
  <rowFields count="1">
    <field x="5"/>
  </rowFields>
  <rowItems count="9">
    <i>
      <x/>
    </i>
    <i>
      <x v="1"/>
    </i>
    <i>
      <x v="3"/>
    </i>
    <i>
      <x v="4"/>
    </i>
    <i>
      <x v="5"/>
    </i>
    <i>
      <x v="7"/>
    </i>
    <i>
      <x v="8"/>
    </i>
    <i>
      <x v="9"/>
    </i>
    <i t="grand">
      <x/>
    </i>
  </rowItems>
  <colItems count="1">
    <i/>
  </colItems>
  <pageFields count="2">
    <pageField fld="3" hier="-1"/>
    <pageField fld="2" hier="-1"/>
  </pageFields>
  <dataFields count="1">
    <dataField name="Soma de TOTAL" fld="17" baseField="0" baseItem="0"/>
  </dataFields>
  <formats count="4">
    <format dxfId="179">
      <pivotArea outline="0" collapsedLevelsAreSubtotals="1" fieldPosition="0"/>
    </format>
    <format dxfId="178">
      <pivotArea dataOnly="0" grandCol="1" outline="0" axis="axisCol" fieldPosition="0"/>
    </format>
    <format dxfId="177">
      <pivotArea dataOnly="0" grandCol="1" outline="0" axis="axisCol" fieldPosition="0"/>
    </format>
    <format dxfId="176">
      <pivotArea dataOnly="0" grandCol="1" outline="0" axis="axisCol" fieldPosition="0"/>
    </format>
  </formats>
  <pivotTableStyleInfo name="PivotStyleLight15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598BDB-82AA-4328-AAA7-AABC765507AB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B13" firstHeaderRow="1" firstDataRow="1" firstDataCol="1" rowPageCount="2" colPageCount="1"/>
  <pivotFields count="22">
    <pivotField showAll="0"/>
    <pivotField numFmtId="166" showAll="0"/>
    <pivotField axis="axisPage" numFmtId="16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15">
        <item x="0"/>
        <item x="11"/>
        <item x="2"/>
        <item x="1"/>
        <item x="8"/>
        <item x="9"/>
        <item m="1" x="13"/>
        <item x="4"/>
        <item m="1" x="12"/>
        <item x="5"/>
        <item x="7"/>
        <item x="3"/>
        <item x="6"/>
        <item x="10"/>
        <item t="default"/>
      </items>
    </pivotField>
    <pivotField axis="axisPage" multipleItemSelectionAllowed="1" showAll="0">
      <items count="10">
        <item h="1" x="4"/>
        <item h="1" x="7"/>
        <item h="1" x="8"/>
        <item h="1" x="1"/>
        <item h="1" x="2"/>
        <item x="6"/>
        <item h="1" x="0"/>
        <item h="1" x="3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4" showAll="0"/>
    <pivotField showAll="0" defaultSubtotal="0"/>
    <pivotField showAll="0" defaultSubtotal="0"/>
    <pivotField showAll="0" defaultSubtotal="0"/>
    <pivotField showAll="0" defaultSubtotal="0"/>
  </pivotFields>
  <rowFields count="1">
    <field x="4"/>
  </rowFields>
  <rowItems count="9">
    <i>
      <x/>
    </i>
    <i>
      <x v="2"/>
    </i>
    <i>
      <x v="4"/>
    </i>
    <i>
      <x v="5"/>
    </i>
    <i>
      <x v="7"/>
    </i>
    <i>
      <x v="9"/>
    </i>
    <i>
      <x v="11"/>
    </i>
    <i>
      <x v="13"/>
    </i>
    <i t="grand">
      <x/>
    </i>
  </rowItems>
  <colItems count="1">
    <i/>
  </colItems>
  <pageFields count="2">
    <pageField fld="5" hier="-1"/>
    <pageField fld="2" hier="-1"/>
  </pageFields>
  <dataFields count="1">
    <dataField name="Soma de TOTAL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5D9B57-E574-4622-B76B-276154EA8CD3}" name="Tabela dinâ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5" firstHeaderRow="1" firstDataRow="1" firstDataCol="1"/>
  <pivotFields count="19">
    <pivotField showAll="0"/>
    <pivotField showAll="0"/>
    <pivotField numFmtId="167" showAll="0"/>
    <pivotField showAll="0"/>
    <pivotField axis="axisRow" showAll="0">
      <items count="9">
        <item m="1" x="7"/>
        <item x="3"/>
        <item x="4"/>
        <item x="5"/>
        <item x="2"/>
        <item x="1"/>
        <item x="0"/>
        <item x="6"/>
        <item t="default"/>
      </items>
    </pivotField>
    <pivotField axis="axisRow" showAll="0">
      <items count="6">
        <item m="1"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4" showAll="0"/>
  </pivotFields>
  <rowFields count="2">
    <field x="5"/>
    <field x="4"/>
  </rowFields>
  <rowItems count="12">
    <i>
      <x v="1"/>
    </i>
    <i r="1">
      <x v="1"/>
    </i>
    <i r="1">
      <x v="3"/>
    </i>
    <i r="1">
      <x v="4"/>
    </i>
    <i r="1">
      <x v="6"/>
    </i>
    <i>
      <x v="2"/>
    </i>
    <i r="1">
      <x v="2"/>
    </i>
    <i>
      <x v="3"/>
    </i>
    <i r="1">
      <x v="5"/>
    </i>
    <i>
      <x v="4"/>
    </i>
    <i r="1">
      <x v="7"/>
    </i>
    <i t="grand">
      <x/>
    </i>
  </rowItems>
  <colItems count="1">
    <i/>
  </colItems>
  <dataFields count="1">
    <dataField name="Soma de TOTAL" fld="18" baseField="0" baseItem="0"/>
  </dataFields>
  <formats count="12">
    <format dxfId="132">
      <pivotArea collapsedLevelsAreSubtotals="1" fieldPosition="0">
        <references count="1">
          <reference field="5" count="0"/>
        </references>
      </pivotArea>
    </format>
    <format dxfId="131">
      <pivotArea collapsedLevelsAreSubtotals="1" fieldPosition="0">
        <references count="1">
          <reference field="5" count="1">
            <x v="0"/>
          </reference>
        </references>
      </pivotArea>
    </format>
    <format dxfId="130">
      <pivotArea collapsedLevelsAreSubtotals="1" fieldPosition="0">
        <references count="2">
          <reference field="4" count="1">
            <x v="0"/>
          </reference>
          <reference field="5" count="1" selected="0">
            <x v="0"/>
          </reference>
        </references>
      </pivotArea>
    </format>
    <format dxfId="129">
      <pivotArea collapsedLevelsAreSubtotals="1" fieldPosition="0">
        <references count="1">
          <reference field="5" count="1">
            <x v="1"/>
          </reference>
        </references>
      </pivotArea>
    </format>
    <format dxfId="128">
      <pivotArea collapsedLevelsAreSubtotals="1" fieldPosition="0">
        <references count="2">
          <reference field="4" count="4">
            <x v="1"/>
            <x v="3"/>
            <x v="4"/>
            <x v="6"/>
          </reference>
          <reference field="5" count="1" selected="0">
            <x v="1"/>
          </reference>
        </references>
      </pivotArea>
    </format>
    <format dxfId="127">
      <pivotArea collapsedLevelsAreSubtotals="1" fieldPosition="0">
        <references count="1">
          <reference field="5" count="1">
            <x v="2"/>
          </reference>
        </references>
      </pivotArea>
    </format>
    <format dxfId="126">
      <pivotArea collapsedLevelsAreSubtotals="1" fieldPosition="0">
        <references count="2">
          <reference field="4" count="1">
            <x v="2"/>
          </reference>
          <reference field="5" count="1" selected="0">
            <x v="2"/>
          </reference>
        </references>
      </pivotArea>
    </format>
    <format dxfId="125">
      <pivotArea collapsedLevelsAreSubtotals="1" fieldPosition="0">
        <references count="1">
          <reference field="5" count="1">
            <x v="3"/>
          </reference>
        </references>
      </pivotArea>
    </format>
    <format dxfId="124">
      <pivotArea collapsedLevelsAreSubtotals="1" fieldPosition="0">
        <references count="2">
          <reference field="4" count="1">
            <x v="5"/>
          </reference>
          <reference field="5" count="1" selected="0">
            <x v="3"/>
          </reference>
        </references>
      </pivotArea>
    </format>
    <format dxfId="123">
      <pivotArea collapsedLevelsAreSubtotals="1" fieldPosition="0">
        <references count="1">
          <reference field="5" count="1">
            <x v="4"/>
          </reference>
        </references>
      </pivotArea>
    </format>
    <format dxfId="122">
      <pivotArea collapsedLevelsAreSubtotals="1" fieldPosition="0">
        <references count="2">
          <reference field="4" count="1">
            <x v="7"/>
          </reference>
          <reference field="5" count="1" selected="0">
            <x v="4"/>
          </reference>
        </references>
      </pivotArea>
    </format>
    <format dxfId="121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7CE79-9155-4416-A579-BF7B050CD8DF}" name="Tabela dinâ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E103:F115" firstHeaderRow="1" firstDataRow="1" firstDataCol="1"/>
  <pivotFields count="19">
    <pivotField showAll="0"/>
    <pivotField showAll="0"/>
    <pivotField numFmtId="167" showAll="0"/>
    <pivotField showAll="0"/>
    <pivotField axis="axisRow" showAll="0">
      <items count="9">
        <item m="1" x="7"/>
        <item x="3"/>
        <item x="4"/>
        <item x="5"/>
        <item x="2"/>
        <item x="1"/>
        <item x="0"/>
        <item x="6"/>
        <item t="default"/>
      </items>
    </pivotField>
    <pivotField axis="axisRow" showAll="0">
      <items count="6">
        <item m="1" x="4"/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44" showAll="0"/>
  </pivotFields>
  <rowFields count="2">
    <field x="5"/>
    <field x="4"/>
  </rowFields>
  <rowItems count="12">
    <i>
      <x v="1"/>
    </i>
    <i r="1">
      <x v="1"/>
    </i>
    <i r="1">
      <x v="3"/>
    </i>
    <i r="1">
      <x v="4"/>
    </i>
    <i r="1">
      <x v="6"/>
    </i>
    <i>
      <x v="2"/>
    </i>
    <i r="1">
      <x v="2"/>
    </i>
    <i>
      <x v="3"/>
    </i>
    <i r="1">
      <x v="5"/>
    </i>
    <i>
      <x v="4"/>
    </i>
    <i r="1">
      <x v="7"/>
    </i>
    <i t="grand">
      <x/>
    </i>
  </rowItems>
  <colItems count="1">
    <i/>
  </colItems>
  <dataFields count="1">
    <dataField name="Soma de TOTAL" fld="18" baseField="0" baseItem="0"/>
  </dataFields>
  <formats count="37">
    <format dxfId="120">
      <pivotArea collapsedLevelsAreSubtotals="1" fieldPosition="0">
        <references count="1">
          <reference field="5" count="0"/>
        </references>
      </pivotArea>
    </format>
    <format dxfId="119">
      <pivotArea collapsedLevelsAreSubtotals="1" fieldPosition="0">
        <references count="1">
          <reference field="5" count="1">
            <x v="0"/>
          </reference>
        </references>
      </pivotArea>
    </format>
    <format dxfId="118">
      <pivotArea collapsedLevelsAreSubtotals="1" fieldPosition="0">
        <references count="2">
          <reference field="4" count="1">
            <x v="0"/>
          </reference>
          <reference field="5" count="1" selected="0">
            <x v="0"/>
          </reference>
        </references>
      </pivotArea>
    </format>
    <format dxfId="117">
      <pivotArea collapsedLevelsAreSubtotals="1" fieldPosition="0">
        <references count="1">
          <reference field="5" count="1">
            <x v="1"/>
          </reference>
        </references>
      </pivotArea>
    </format>
    <format dxfId="116">
      <pivotArea collapsedLevelsAreSubtotals="1" fieldPosition="0">
        <references count="2">
          <reference field="4" count="4">
            <x v="1"/>
            <x v="3"/>
            <x v="4"/>
            <x v="6"/>
          </reference>
          <reference field="5" count="1" selected="0">
            <x v="1"/>
          </reference>
        </references>
      </pivotArea>
    </format>
    <format dxfId="115">
      <pivotArea collapsedLevelsAreSubtotals="1" fieldPosition="0">
        <references count="1">
          <reference field="5" count="1">
            <x v="2"/>
          </reference>
        </references>
      </pivotArea>
    </format>
    <format dxfId="114">
      <pivotArea collapsedLevelsAreSubtotals="1" fieldPosition="0">
        <references count="2">
          <reference field="4" count="1">
            <x v="2"/>
          </reference>
          <reference field="5" count="1" selected="0">
            <x v="2"/>
          </reference>
        </references>
      </pivotArea>
    </format>
    <format dxfId="113">
      <pivotArea collapsedLevelsAreSubtotals="1" fieldPosition="0">
        <references count="1">
          <reference field="5" count="1">
            <x v="3"/>
          </reference>
        </references>
      </pivotArea>
    </format>
    <format dxfId="112">
      <pivotArea collapsedLevelsAreSubtotals="1" fieldPosition="0">
        <references count="2">
          <reference field="4" count="1">
            <x v="5"/>
          </reference>
          <reference field="5" count="1" selected="0">
            <x v="3"/>
          </reference>
        </references>
      </pivotArea>
    </format>
    <format dxfId="111">
      <pivotArea collapsedLevelsAreSubtotals="1" fieldPosition="0">
        <references count="1">
          <reference field="5" count="1">
            <x v="4"/>
          </reference>
        </references>
      </pivotArea>
    </format>
    <format dxfId="110">
      <pivotArea collapsedLevelsAreSubtotals="1" fieldPosition="0">
        <references count="2">
          <reference field="4" count="1">
            <x v="7"/>
          </reference>
          <reference field="5" count="1" selected="0">
            <x v="4"/>
          </reference>
        </references>
      </pivotArea>
    </format>
    <format dxfId="109">
      <pivotArea grandRow="1" outline="0" collapsedLevelsAreSubtotals="1" fieldPosition="0"/>
    </format>
    <format dxfId="108">
      <pivotArea field="5" type="button" dataOnly="0" labelOnly="1" outline="0" axis="axisRow" fieldPosition="0"/>
    </format>
    <format dxfId="107">
      <pivotArea dataOnly="0" labelOnly="1" outline="0" axis="axisValues" fieldPosition="0"/>
    </format>
    <format dxfId="106">
      <pivotArea dataOnly="0" grandRow="1" axis="axisRow" fieldPosition="0"/>
    </format>
    <format dxfId="105">
      <pivotArea dataOnly="0" grandRow="1" axis="axisRow" fieldPosition="0"/>
    </format>
    <format dxfId="104">
      <pivotArea field="5" type="button" dataOnly="0" labelOnly="1" outline="0" axis="axisRow" fieldPosition="0"/>
    </format>
    <format dxfId="103">
      <pivotArea dataOnly="0" labelOnly="1" outline="0" axis="axisValues" fieldPosition="0"/>
    </format>
    <format dxfId="102">
      <pivotArea field="5" type="button" dataOnly="0" labelOnly="1" outline="0" axis="axisRow" fieldPosition="0"/>
    </format>
    <format dxfId="101">
      <pivotArea dataOnly="0" labelOnly="1" outline="0" axis="axisValues" fieldPosition="0"/>
    </format>
    <format dxfId="100">
      <pivotArea field="5" type="button" dataOnly="0" labelOnly="1" outline="0" axis="axisRow" fieldPosition="0"/>
    </format>
    <format dxfId="99">
      <pivotArea dataOnly="0" labelOnly="1" outline="0" axis="axisValues" fieldPosition="0"/>
    </format>
    <format dxfId="98">
      <pivotArea grandRow="1" outline="0" collapsedLevelsAreSubtotals="1" fieldPosition="0"/>
    </format>
    <format dxfId="97">
      <pivotArea dataOnly="0" labelOnly="1" grandRow="1" outline="0" fieldPosition="0"/>
    </format>
    <format dxfId="96">
      <pivotArea dataOnly="0" labelOnly="1" grandRow="1" outline="0" fieldPosition="0"/>
    </format>
    <format dxfId="95">
      <pivotArea type="all" dataOnly="0" outline="0" fieldPosition="0"/>
    </format>
    <format dxfId="94">
      <pivotArea grandRow="1" outline="0" collapsedLevelsAreSubtotals="1" fieldPosition="0"/>
    </format>
    <format dxfId="28">
      <pivotArea type="all" dataOnly="0" outline="0" fieldPosition="0"/>
    </format>
    <format dxfId="13">
      <pivotArea outline="0" collapsedLevelsAreSubtotals="1" fieldPosition="0"/>
    </format>
    <format dxfId="12">
      <pivotArea field="5" type="button" dataOnly="0" labelOnly="1" outline="0" axis="axisRow" fieldPosition="0"/>
    </format>
    <format dxfId="11">
      <pivotArea dataOnly="0" labelOnly="1" fieldPosition="0">
        <references count="1">
          <reference field="5" count="0"/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2">
          <reference field="4" count="4">
            <x v="1"/>
            <x v="3"/>
            <x v="4"/>
            <x v="6"/>
          </reference>
          <reference field="5" count="1" selected="0">
            <x v="1"/>
          </reference>
        </references>
      </pivotArea>
    </format>
    <format dxfId="8">
      <pivotArea dataOnly="0" labelOnly="1" fieldPosition="0">
        <references count="2">
          <reference field="4" count="1">
            <x v="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2">
          <reference field="4" count="1">
            <x v="5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2">
          <reference field="4" count="1">
            <x v="7"/>
          </reference>
          <reference field="5" count="1" selected="0">
            <x v="4"/>
          </reference>
        </references>
      </pivotArea>
    </format>
    <format dxfId="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D14368-2693-4DE5-9087-9639078F7B40}" name="Table4" displayName="Table4" ref="A4:S864" totalsRowCount="1" headerRowDxfId="174" dataDxfId="173" totalsRowDxfId="172">
  <autoFilter ref="A4:S863" xr:uid="{123BF5F8-C75D-416F-AD66-5CA69E96702F}">
    <filterColumn colId="18">
      <colorFilter dxfId="171"/>
    </filterColumn>
  </autoFilter>
  <tableColumns count="19">
    <tableColumn id="1" xr3:uid="{89A62577-C4B8-4E50-9CA9-253E20C3D2E2}" name="ID" dataDxfId="170" totalsRowDxfId="169"/>
    <tableColumn id="2" xr3:uid="{21028C57-AE66-4A5E-B295-C2E80009BFAB}" name="DATE" dataDxfId="168" totalsRowDxfId="167"/>
    <tableColumn id="3" xr3:uid="{A0119DFE-815F-4A20-9E82-E83ABB7224A2}" name="REF" dataDxfId="166" totalsRowDxfId="165"/>
    <tableColumn id="4" xr3:uid="{EA70A255-26ED-404B-B266-D74543F9861D}" name="CLASSIFICATION" dataDxfId="164" totalsRowDxfId="163"/>
    <tableColumn id="5" xr3:uid="{5E1DFCE9-EAC2-4BCA-871B-E19CADCD4397}" name="RESPONSIBLE" dataDxfId="162" totalsRowDxfId="161"/>
    <tableColumn id="19" xr3:uid="{347C9F13-96BB-4369-99D7-D8B1B022A5EA}" name="COORDENAÇÃO" dataDxfId="160" totalsRowDxfId="159"/>
    <tableColumn id="6" xr3:uid="{D4F3F0FC-6E12-4703-8A17-762A084CE3EE}" name="PROVIDER" dataDxfId="158" totalsRowDxfId="157"/>
    <tableColumn id="7" xr3:uid="{C3880217-95E4-4952-933A-A6A2C4580117}" name="COD SAP" dataDxfId="156" totalsRowDxfId="155"/>
    <tableColumn id="8" xr3:uid="{045B8878-C2FC-4F25-B543-26AABEAD9C1A}" name="DESCRIPTION" dataDxfId="154" totalsRowDxfId="153"/>
    <tableColumn id="9" xr3:uid="{2E6E5F65-8C2B-417F-9196-A42033472FC3}" name="OBSERVATION" dataDxfId="152" totalsRowDxfId="151"/>
    <tableColumn id="10" xr3:uid="{2D2FDEBA-F301-4623-A79E-80EF2A2FA3FD}" name="CENTER" dataDxfId="150" totalsRowDxfId="149"/>
    <tableColumn id="11" xr3:uid="{6B6F9531-5C34-478A-9BB0-4747BC5E0583}" name="CITY" dataDxfId="148" totalsRowDxfId="147"/>
    <tableColumn id="12" xr3:uid="{E49BF735-D7A6-4597-BBFD-B9E3E6B242D8}" name="DEPOSIT" dataDxfId="146" totalsRowDxfId="145"/>
    <tableColumn id="13" xr3:uid="{890E4292-9378-4A0B-A33B-59A9D7B84E06}" name="COST CENTER" dataDxfId="144" totalsRowDxfId="143"/>
    <tableColumn id="14" xr3:uid="{D0415A46-D0AD-4D33-95A2-7CEA7AECF041}" name="RC" dataDxfId="142" totalsRowDxfId="141"/>
    <tableColumn id="15" xr3:uid="{1D052B00-1B2F-40AA-8321-B4F42CBA38F1}" name="QTD" dataDxfId="140" totalsRowDxfId="139"/>
    <tableColumn id="16" xr3:uid="{B864E6A9-2EDE-4663-A691-F04BA22CC560}" name="UNID" dataDxfId="138" totalsRowDxfId="137"/>
    <tableColumn id="17" xr3:uid="{05FBD75B-EF57-4F1B-8E44-7E567CE7C702}" name="VALUE" dataDxfId="136" totalsRowDxfId="135"/>
    <tableColumn id="18" xr3:uid="{4FD0F22E-4780-4A7E-AEDE-F6453FA90D14}" name="TOTAL" totalsRowFunction="sum" dataDxfId="134" totalsRowDxfId="13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AE3527-A1C9-4A72-8656-1411C0F5AA36}" name="Table42" displayName="Table42" ref="A4:S68" totalsRowCount="1" headerRowDxfId="93" dataDxfId="92" totalsRowDxfId="91">
  <autoFilter ref="A4:S67" xr:uid="{123BF5F8-C75D-416F-AD66-5CA69E96702F}"/>
  <tableColumns count="19">
    <tableColumn id="1" xr3:uid="{DF9AC869-7B89-4E6E-B162-E6C8FA88C5FE}" name="ID" dataDxfId="90" totalsRowDxfId="89"/>
    <tableColumn id="2" xr3:uid="{814F8C01-3BAD-4CBD-AE27-1C5CA1690CD6}" name="DATE" dataDxfId="87" totalsRowDxfId="88"/>
    <tableColumn id="3" xr3:uid="{3FB2B4DF-2FBC-45BB-AB6A-A69F83943C57}" name="REF" dataDxfId="85" totalsRowDxfId="86"/>
    <tableColumn id="4" xr3:uid="{30609F74-A2FF-465D-9F00-B161BD471B61}" name="CLASSIFICATION" dataDxfId="83" totalsRowDxfId="84"/>
    <tableColumn id="5" xr3:uid="{78042910-2BCA-4498-B9D9-17015A67DB19}" name="RESPONSIBLE" dataDxfId="81" totalsRowDxfId="82"/>
    <tableColumn id="19" xr3:uid="{2F450E95-1112-473F-9BEE-A2049003A550}" name="COORDENAÇÃO" dataDxfId="79" totalsRowDxfId="80"/>
    <tableColumn id="6" xr3:uid="{267BC8B9-F392-4DD9-B27C-E8E871C731D0}" name="PROVIDER" dataDxfId="77" totalsRowDxfId="78"/>
    <tableColumn id="7" xr3:uid="{9E6712E5-779E-4E2B-BCFB-3176DFA46DB3}" name="COD SAP" dataDxfId="75" totalsRowDxfId="76"/>
    <tableColumn id="8" xr3:uid="{5C88A041-2138-4242-9CF1-69035B39E6BD}" name="DESCRIPTION" dataDxfId="73" totalsRowDxfId="74"/>
    <tableColumn id="9" xr3:uid="{87C5DB3A-3C85-4895-8975-0C119DBEE5FE}" name="OBSERVATION" dataDxfId="71" totalsRowDxfId="72"/>
    <tableColumn id="10" xr3:uid="{0CEC87E3-B7E8-4172-8D13-F3CB26A39774}" name="CENTER" dataDxfId="69" totalsRowDxfId="70"/>
    <tableColumn id="11" xr3:uid="{B4C2A53A-C959-43EC-AF36-2194403C4275}" name="CITY" dataDxfId="67" totalsRowDxfId="68"/>
    <tableColumn id="12" xr3:uid="{08A31DF7-2CA6-489C-A1A5-E38021C084FF}" name="DEPOSIT" dataDxfId="65" totalsRowDxfId="66"/>
    <tableColumn id="13" xr3:uid="{F43E69D9-A0B1-4E41-8335-11C007639B18}" name="COST CENTER" dataDxfId="63" totalsRowDxfId="64"/>
    <tableColumn id="14" xr3:uid="{73E35C23-2852-415C-AA5E-7A76645CF41E}" name="RC" dataDxfId="61" totalsRowDxfId="62"/>
    <tableColumn id="15" xr3:uid="{54126F38-F266-4785-A30F-E03353A2BEBE}" name="QTD" dataDxfId="59" totalsRowDxfId="60"/>
    <tableColumn id="16" xr3:uid="{FEEF9E13-38E0-4573-A1EF-9E26D3544339}" name="UNID" dataDxfId="57" totalsRowDxfId="58"/>
    <tableColumn id="17" xr3:uid="{8A0660C8-1686-4A85-9BE6-7C7051C1797D}" name="VALUE" dataDxfId="55" totalsRowDxfId="56"/>
    <tableColumn id="18" xr3:uid="{42AFB160-BC5B-463A-AC45-BE55D8B84565}" name="TOTAL" totalsRowFunction="sum" dataDxfId="54" totalsRowDxfId="5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380E-854D-44C1-A069-4E4A07AB1889}">
  <dimension ref="A1:CJ18"/>
  <sheetViews>
    <sheetView workbookViewId="0">
      <selection activeCell="F4" sqref="F4"/>
    </sheetView>
  </sheetViews>
  <sheetFormatPr defaultRowHeight="15" x14ac:dyDescent="0.25"/>
  <cols>
    <col min="1" max="1" width="21.7109375" bestFit="1" customWidth="1"/>
    <col min="2" max="2" width="19.5703125" bestFit="1" customWidth="1"/>
    <col min="3" max="7" width="14.28515625" bestFit="1" customWidth="1"/>
    <col min="8" max="8" width="15.85546875" customWidth="1"/>
    <col min="9" max="9" width="15.85546875" bestFit="1" customWidth="1"/>
    <col min="10" max="10" width="15.85546875" customWidth="1"/>
    <col min="11" max="11" width="38.42578125" bestFit="1" customWidth="1"/>
    <col min="12" max="12" width="15.140625" bestFit="1" customWidth="1"/>
    <col min="13" max="16" width="14.28515625" bestFit="1" customWidth="1"/>
    <col min="17" max="18" width="15.85546875" bestFit="1" customWidth="1"/>
    <col min="19" max="19" width="14.28515625" bestFit="1" customWidth="1"/>
    <col min="20" max="20" width="13.28515625" bestFit="1" customWidth="1"/>
    <col min="21" max="24" width="12.140625" bestFit="1" customWidth="1"/>
    <col min="25" max="26" width="13.28515625" bestFit="1" customWidth="1"/>
    <col min="27" max="28" width="12.140625" bestFit="1" customWidth="1"/>
    <col min="29" max="30" width="13.28515625" bestFit="1" customWidth="1"/>
    <col min="31" max="31" width="14.28515625" bestFit="1" customWidth="1"/>
    <col min="32" max="34" width="12.140625" bestFit="1" customWidth="1"/>
    <col min="35" max="35" width="13.28515625" bestFit="1" customWidth="1"/>
    <col min="36" max="36" width="12.140625" bestFit="1" customWidth="1"/>
    <col min="37" max="38" width="13.28515625" bestFit="1" customWidth="1"/>
    <col min="39" max="39" width="12.140625" bestFit="1" customWidth="1"/>
    <col min="40" max="40" width="13.28515625" bestFit="1" customWidth="1"/>
    <col min="41" max="42" width="12.140625" bestFit="1" customWidth="1"/>
    <col min="43" max="43" width="13.28515625" bestFit="1" customWidth="1"/>
    <col min="44" max="45" width="12.140625" bestFit="1" customWidth="1"/>
    <col min="46" max="46" width="13.28515625" bestFit="1" customWidth="1"/>
    <col min="47" max="47" width="12.140625" bestFit="1" customWidth="1"/>
    <col min="48" max="48" width="13.28515625" bestFit="1" customWidth="1"/>
    <col min="49" max="51" width="12.140625" bestFit="1" customWidth="1"/>
    <col min="52" max="52" width="14.28515625" bestFit="1" customWidth="1"/>
    <col min="53" max="56" width="12.140625" bestFit="1" customWidth="1"/>
    <col min="57" max="57" width="13.28515625" bestFit="1" customWidth="1"/>
    <col min="58" max="60" width="12.140625" bestFit="1" customWidth="1"/>
    <col min="61" max="62" width="13.28515625" bestFit="1" customWidth="1"/>
    <col min="63" max="63" width="12.140625" bestFit="1" customWidth="1"/>
    <col min="64" max="65" width="13.28515625" bestFit="1" customWidth="1"/>
    <col min="66" max="67" width="12.140625" bestFit="1" customWidth="1"/>
    <col min="68" max="71" width="13.28515625" bestFit="1" customWidth="1"/>
    <col min="72" max="72" width="12.140625" bestFit="1" customWidth="1"/>
    <col min="73" max="73" width="13.28515625" bestFit="1" customWidth="1"/>
    <col min="74" max="75" width="12.140625" bestFit="1" customWidth="1"/>
    <col min="76" max="80" width="13.28515625" bestFit="1" customWidth="1"/>
    <col min="81" max="81" width="12.140625" bestFit="1" customWidth="1"/>
    <col min="82" max="82" width="13.28515625" bestFit="1" customWidth="1"/>
    <col min="83" max="83" width="12.140625" bestFit="1" customWidth="1"/>
    <col min="84" max="85" width="13.28515625" bestFit="1" customWidth="1"/>
    <col min="86" max="87" width="12.140625" bestFit="1" customWidth="1"/>
    <col min="88" max="88" width="15.85546875" bestFit="1" customWidth="1"/>
  </cols>
  <sheetData>
    <row r="1" spans="1:88" x14ac:dyDescent="0.25">
      <c r="A1" s="27" t="s">
        <v>2</v>
      </c>
      <c r="B1" t="s">
        <v>472</v>
      </c>
    </row>
    <row r="2" spans="1:88" x14ac:dyDescent="0.25">
      <c r="A2" s="27" t="s">
        <v>3</v>
      </c>
      <c r="B2" t="s">
        <v>393</v>
      </c>
    </row>
    <row r="3" spans="1:88" x14ac:dyDescent="0.25">
      <c r="K3" s="27" t="s">
        <v>3</v>
      </c>
      <c r="L3" t="s">
        <v>393</v>
      </c>
    </row>
    <row r="4" spans="1:88" x14ac:dyDescent="0.25">
      <c r="A4" s="27" t="s">
        <v>392</v>
      </c>
      <c r="B4" s="27" t="s">
        <v>428</v>
      </c>
      <c r="K4" s="27" t="s">
        <v>2</v>
      </c>
      <c r="L4" t="s">
        <v>472</v>
      </c>
    </row>
    <row r="5" spans="1:88" x14ac:dyDescent="0.25">
      <c r="B5" t="s">
        <v>474</v>
      </c>
      <c r="C5" t="s">
        <v>429</v>
      </c>
      <c r="H5" t="s">
        <v>430</v>
      </c>
      <c r="I5" t="s">
        <v>391</v>
      </c>
    </row>
    <row r="6" spans="1:88" x14ac:dyDescent="0.25">
      <c r="C6" t="s">
        <v>475</v>
      </c>
      <c r="D6" t="s">
        <v>476</v>
      </c>
      <c r="E6" t="s">
        <v>431</v>
      </c>
      <c r="G6" t="s">
        <v>432</v>
      </c>
      <c r="K6" s="27" t="s">
        <v>5</v>
      </c>
      <c r="L6" s="33" t="s">
        <v>392</v>
      </c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</row>
    <row r="7" spans="1:88" x14ac:dyDescent="0.25">
      <c r="A7" s="27" t="s">
        <v>427</v>
      </c>
      <c r="E7" s="38" t="s">
        <v>433</v>
      </c>
      <c r="F7" s="38" t="s">
        <v>503</v>
      </c>
      <c r="K7" t="s">
        <v>20</v>
      </c>
      <c r="L7" s="28">
        <v>1897168.1830000002</v>
      </c>
    </row>
    <row r="8" spans="1:88" x14ac:dyDescent="0.25">
      <c r="A8" s="35" t="s">
        <v>28</v>
      </c>
      <c r="B8" s="37">
        <v>5501.16</v>
      </c>
      <c r="C8" s="37">
        <v>2027.5420000000001</v>
      </c>
      <c r="D8" s="37">
        <v>46868.409999999996</v>
      </c>
      <c r="E8" s="37">
        <v>57212.120999999985</v>
      </c>
      <c r="F8" s="37">
        <v>20747.940999999999</v>
      </c>
      <c r="G8" s="37">
        <v>77960.061999999976</v>
      </c>
      <c r="H8" s="37">
        <v>126856.01399999997</v>
      </c>
      <c r="I8" s="37">
        <v>132357.17399999997</v>
      </c>
      <c r="J8" s="37"/>
      <c r="K8" t="s">
        <v>358</v>
      </c>
      <c r="L8" s="28">
        <v>53119</v>
      </c>
    </row>
    <row r="9" spans="1:88" x14ac:dyDescent="0.25">
      <c r="A9" s="35" t="s">
        <v>19</v>
      </c>
      <c r="B9" s="37">
        <v>2051.84</v>
      </c>
      <c r="C9" s="37">
        <v>82825.088000000003</v>
      </c>
      <c r="D9" s="37">
        <v>50244.480000000003</v>
      </c>
      <c r="E9" s="37"/>
      <c r="F9" s="37"/>
      <c r="G9" s="37"/>
      <c r="H9" s="37">
        <v>133069.568</v>
      </c>
      <c r="I9" s="37">
        <v>135121.408</v>
      </c>
      <c r="J9" s="37"/>
      <c r="K9" t="s">
        <v>388</v>
      </c>
      <c r="L9" s="28">
        <v>23434.800000000003</v>
      </c>
    </row>
    <row r="10" spans="1:88" x14ac:dyDescent="0.25">
      <c r="A10" s="35" t="s">
        <v>37</v>
      </c>
      <c r="B10" s="37">
        <v>6794.8230000000003</v>
      </c>
      <c r="C10" s="37"/>
      <c r="D10" s="37"/>
      <c r="E10" s="37"/>
      <c r="F10" s="37"/>
      <c r="G10" s="37"/>
      <c r="H10" s="37"/>
      <c r="I10" s="37">
        <v>6794.8230000000003</v>
      </c>
      <c r="J10" s="37"/>
      <c r="K10" t="s">
        <v>75</v>
      </c>
      <c r="L10" s="28">
        <v>801855.57000000041</v>
      </c>
    </row>
    <row r="11" spans="1:88" x14ac:dyDescent="0.25">
      <c r="A11" s="35" t="s">
        <v>260</v>
      </c>
      <c r="B11" s="37"/>
      <c r="C11" s="37">
        <v>3194.5439999999999</v>
      </c>
      <c r="D11" s="37">
        <v>7167.04</v>
      </c>
      <c r="E11" s="37"/>
      <c r="F11" s="37"/>
      <c r="G11" s="37"/>
      <c r="H11" s="37">
        <v>10361.583999999999</v>
      </c>
      <c r="I11" s="37">
        <v>10361.583999999999</v>
      </c>
      <c r="J11" s="37"/>
      <c r="K11" t="s">
        <v>83</v>
      </c>
      <c r="L11" s="28">
        <v>641.8125</v>
      </c>
    </row>
    <row r="12" spans="1:88" x14ac:dyDescent="0.25">
      <c r="A12" s="35" t="s">
        <v>383</v>
      </c>
      <c r="B12" s="37">
        <v>48540.205999999998</v>
      </c>
      <c r="C12" s="37">
        <v>194501.42299999992</v>
      </c>
      <c r="D12" s="37">
        <v>45082.30599999999</v>
      </c>
      <c r="E12" s="37">
        <v>178672.69999999998</v>
      </c>
      <c r="F12" s="37">
        <v>36887.76999999999</v>
      </c>
      <c r="G12" s="37">
        <v>215560.46999999997</v>
      </c>
      <c r="H12" s="37">
        <v>455144.19899999991</v>
      </c>
      <c r="I12" s="37">
        <v>503684.40499999991</v>
      </c>
      <c r="J12" s="37"/>
      <c r="K12" t="s">
        <v>29</v>
      </c>
      <c r="L12" s="28">
        <v>407178.83500000002</v>
      </c>
    </row>
    <row r="13" spans="1:88" x14ac:dyDescent="0.25">
      <c r="A13" s="35" t="s">
        <v>74</v>
      </c>
      <c r="B13" s="37">
        <v>3868.08</v>
      </c>
      <c r="C13" s="37">
        <v>86099.528999999995</v>
      </c>
      <c r="D13" s="37">
        <v>29884</v>
      </c>
      <c r="E13" s="37">
        <v>43441.63</v>
      </c>
      <c r="F13" s="37"/>
      <c r="G13" s="37">
        <v>43441.63</v>
      </c>
      <c r="H13" s="37">
        <v>159425.15899999999</v>
      </c>
      <c r="I13" s="37">
        <v>163293.239</v>
      </c>
      <c r="J13" s="37"/>
      <c r="K13" t="s">
        <v>95</v>
      </c>
      <c r="L13" s="28">
        <v>4239.9000000000005</v>
      </c>
    </row>
    <row r="14" spans="1:88" x14ac:dyDescent="0.25">
      <c r="A14" s="35" t="s">
        <v>141</v>
      </c>
      <c r="B14" s="37"/>
      <c r="C14" s="37">
        <v>2371.08</v>
      </c>
      <c r="D14" s="37"/>
      <c r="E14" s="37"/>
      <c r="F14" s="37"/>
      <c r="G14" s="37"/>
      <c r="H14" s="37">
        <v>2371.08</v>
      </c>
      <c r="I14" s="37">
        <v>2371.08</v>
      </c>
      <c r="J14" s="37"/>
      <c r="K14" t="s">
        <v>142</v>
      </c>
      <c r="L14" s="28">
        <v>20700.810000000001</v>
      </c>
    </row>
    <row r="15" spans="1:88" x14ac:dyDescent="0.25">
      <c r="A15" s="35" t="s">
        <v>52</v>
      </c>
      <c r="B15" s="37">
        <v>8954.4700000000012</v>
      </c>
      <c r="C15" s="37">
        <v>130384.37299999996</v>
      </c>
      <c r="D15" s="37">
        <v>34967.811999999998</v>
      </c>
      <c r="E15" s="37">
        <v>3195.64</v>
      </c>
      <c r="F15" s="37">
        <v>3364.9</v>
      </c>
      <c r="G15" s="37">
        <v>6560.54</v>
      </c>
      <c r="H15" s="37">
        <v>171912.72499999998</v>
      </c>
      <c r="I15" s="37">
        <v>180867.19499999998</v>
      </c>
      <c r="J15" s="37"/>
      <c r="K15" t="s">
        <v>391</v>
      </c>
      <c r="L15" s="28">
        <v>3208338.9105000007</v>
      </c>
    </row>
    <row r="16" spans="1:88" x14ac:dyDescent="0.25">
      <c r="A16" s="35" t="s">
        <v>94</v>
      </c>
      <c r="B16" s="37"/>
      <c r="C16" s="37">
        <v>246.78</v>
      </c>
      <c r="D16" s="37"/>
      <c r="E16" s="37"/>
      <c r="F16" s="37"/>
      <c r="G16" s="37"/>
      <c r="H16" s="37">
        <v>246.78</v>
      </c>
      <c r="I16" s="37">
        <v>246.78</v>
      </c>
      <c r="J16" s="37"/>
    </row>
    <row r="17" spans="1:10" x14ac:dyDescent="0.25">
      <c r="A17" s="35" t="s">
        <v>488</v>
      </c>
      <c r="B17" s="37"/>
      <c r="C17" s="37"/>
      <c r="D17" s="37"/>
      <c r="E17" s="37"/>
      <c r="F17" s="37">
        <v>112808.01999999999</v>
      </c>
      <c r="G17" s="37">
        <v>112808.01999999999</v>
      </c>
      <c r="H17" s="37">
        <v>112808.01999999999</v>
      </c>
      <c r="I17" s="37">
        <v>112808.01999999999</v>
      </c>
      <c r="J17" s="37"/>
    </row>
    <row r="18" spans="1:10" x14ac:dyDescent="0.25">
      <c r="A18" s="35" t="s">
        <v>391</v>
      </c>
      <c r="B18" s="37">
        <v>75710.578999999998</v>
      </c>
      <c r="C18" s="37">
        <v>501650.35899999994</v>
      </c>
      <c r="D18" s="37">
        <v>214214.04799999998</v>
      </c>
      <c r="E18" s="37">
        <v>282522.09099999996</v>
      </c>
      <c r="F18" s="37">
        <v>173808.63099999999</v>
      </c>
      <c r="G18" s="37">
        <v>456330.72199999995</v>
      </c>
      <c r="H18" s="37">
        <v>1172195.129</v>
      </c>
      <c r="I18" s="37">
        <v>1247905.7079999999</v>
      </c>
      <c r="J18" s="37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7BDD8-F70C-4901-B1DA-3F8135C997CD}">
  <dimension ref="A1:B13"/>
  <sheetViews>
    <sheetView workbookViewId="0">
      <selection activeCell="A4" sqref="A4"/>
    </sheetView>
  </sheetViews>
  <sheetFormatPr defaultRowHeight="15" x14ac:dyDescent="0.25"/>
  <cols>
    <col min="1" max="1" width="21.42578125" bestFit="1" customWidth="1"/>
    <col min="2" max="2" width="24.140625" bestFit="1" customWidth="1"/>
  </cols>
  <sheetData>
    <row r="1" spans="1:2" x14ac:dyDescent="0.25">
      <c r="A1" s="27" t="s">
        <v>5</v>
      </c>
      <c r="B1" t="s">
        <v>287</v>
      </c>
    </row>
    <row r="2" spans="1:2" x14ac:dyDescent="0.25">
      <c r="A2" s="27" t="s">
        <v>2</v>
      </c>
      <c r="B2" t="s">
        <v>472</v>
      </c>
    </row>
    <row r="4" spans="1:2" x14ac:dyDescent="0.25">
      <c r="A4" s="27" t="s">
        <v>427</v>
      </c>
      <c r="B4" t="s">
        <v>392</v>
      </c>
    </row>
    <row r="5" spans="1:2" x14ac:dyDescent="0.25">
      <c r="A5" s="35" t="s">
        <v>28</v>
      </c>
      <c r="B5" s="43">
        <v>6675.32</v>
      </c>
    </row>
    <row r="6" spans="1:2" x14ac:dyDescent="0.25">
      <c r="A6" s="35" t="s">
        <v>19</v>
      </c>
      <c r="B6" s="43">
        <v>4515.5</v>
      </c>
    </row>
    <row r="7" spans="1:2" x14ac:dyDescent="0.25">
      <c r="A7" s="35" t="s">
        <v>260</v>
      </c>
      <c r="B7" s="43">
        <v>9144.7000000000007</v>
      </c>
    </row>
    <row r="8" spans="1:2" x14ac:dyDescent="0.25">
      <c r="A8" s="35" t="s">
        <v>286</v>
      </c>
      <c r="B8" s="43">
        <v>1855</v>
      </c>
    </row>
    <row r="9" spans="1:2" x14ac:dyDescent="0.25">
      <c r="A9" s="35" t="s">
        <v>383</v>
      </c>
      <c r="B9" s="43">
        <v>7557.8</v>
      </c>
    </row>
    <row r="10" spans="1:2" x14ac:dyDescent="0.25">
      <c r="A10" s="35" t="s">
        <v>74</v>
      </c>
      <c r="B10" s="43">
        <v>4394.26</v>
      </c>
    </row>
    <row r="11" spans="1:2" x14ac:dyDescent="0.25">
      <c r="A11" s="35" t="s">
        <v>52</v>
      </c>
      <c r="B11" s="43">
        <v>11754</v>
      </c>
    </row>
    <row r="12" spans="1:2" x14ac:dyDescent="0.25">
      <c r="A12" s="35" t="s">
        <v>464</v>
      </c>
      <c r="B12" s="43">
        <v>1061</v>
      </c>
    </row>
    <row r="13" spans="1:2" x14ac:dyDescent="0.25">
      <c r="A13" s="35" t="s">
        <v>391</v>
      </c>
      <c r="B13" s="43">
        <v>46957.58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E8124-9B80-444F-B6E7-D73F0C06B58A}">
  <sheetPr codeName="Sheet1">
    <pageSetUpPr fitToPage="1"/>
  </sheetPr>
  <dimension ref="A1:U1082"/>
  <sheetViews>
    <sheetView showGridLines="0" topLeftCell="C1" zoomScaleNormal="100" workbookViewId="0">
      <pane ySplit="4" topLeftCell="A809" activePane="bottomLeft" state="frozen"/>
      <selection pane="bottomLeft" activeCell="S864" sqref="S864"/>
    </sheetView>
  </sheetViews>
  <sheetFormatPr defaultRowHeight="11.25" x14ac:dyDescent="0.2"/>
  <cols>
    <col min="1" max="1" width="7.140625" style="29" hidden="1" customWidth="1"/>
    <col min="2" max="2" width="9" style="2" hidden="1" customWidth="1"/>
    <col min="3" max="3" width="7.85546875" style="55" bestFit="1" customWidth="1"/>
    <col min="4" max="4" width="16.140625" style="1" bestFit="1" customWidth="1"/>
    <col min="5" max="5" width="28.5703125" style="1" bestFit="1" customWidth="1"/>
    <col min="6" max="6" width="19" style="1" bestFit="1" customWidth="1"/>
    <col min="7" max="7" width="28.85546875" style="1" bestFit="1" customWidth="1"/>
    <col min="8" max="8" width="11.28515625" style="31" bestFit="1" customWidth="1"/>
    <col min="9" max="9" width="27.140625" style="1" bestFit="1" customWidth="1"/>
    <col min="10" max="10" width="92.85546875" style="1" bestFit="1" customWidth="1"/>
    <col min="11" max="11" width="10.42578125" style="31" hidden="1" customWidth="1"/>
    <col min="12" max="12" width="18.85546875" style="34" bestFit="1" customWidth="1"/>
    <col min="13" max="13" width="11" style="31" bestFit="1" customWidth="1"/>
    <col min="14" max="14" width="14" style="31" bestFit="1" customWidth="1"/>
    <col min="15" max="15" width="7.85546875" style="1" hidden="1" customWidth="1"/>
    <col min="16" max="16" width="8.42578125" style="31" bestFit="1" customWidth="1"/>
    <col min="17" max="17" width="9" style="31" bestFit="1" customWidth="1"/>
    <col min="18" max="18" width="11.7109375" style="1" bestFit="1" customWidth="1"/>
    <col min="19" max="19" width="22" style="3" bestFit="1" customWidth="1"/>
    <col min="20" max="16384" width="9.140625" style="1"/>
  </cols>
  <sheetData>
    <row r="1" spans="1:19" ht="11.25" customHeight="1" x14ac:dyDescent="0.2">
      <c r="E1" s="47"/>
      <c r="F1" s="47"/>
    </row>
    <row r="2" spans="1:19" x14ac:dyDescent="0.2">
      <c r="E2" s="47"/>
      <c r="F2" s="47"/>
      <c r="K2" s="87"/>
      <c r="L2" s="88"/>
    </row>
    <row r="3" spans="1:19" ht="31.5" customHeight="1" x14ac:dyDescent="0.2">
      <c r="E3" s="47"/>
      <c r="F3" s="47"/>
      <c r="K3" s="87"/>
      <c r="L3" s="88"/>
    </row>
    <row r="4" spans="1:19" s="91" customFormat="1" ht="12.75" x14ac:dyDescent="0.25">
      <c r="A4" s="89" t="s">
        <v>0</v>
      </c>
      <c r="B4" s="92" t="s">
        <v>1</v>
      </c>
      <c r="C4" s="93" t="s">
        <v>2</v>
      </c>
      <c r="D4" s="90" t="s">
        <v>3</v>
      </c>
      <c r="E4" s="90" t="s">
        <v>4</v>
      </c>
      <c r="F4" s="90" t="s">
        <v>643</v>
      </c>
      <c r="G4" s="90" t="s">
        <v>5</v>
      </c>
      <c r="H4" s="94" t="s">
        <v>6</v>
      </c>
      <c r="I4" s="94" t="s">
        <v>7</v>
      </c>
      <c r="J4" s="90" t="s">
        <v>8</v>
      </c>
      <c r="K4" s="90" t="s">
        <v>9</v>
      </c>
      <c r="L4" s="90" t="s">
        <v>10</v>
      </c>
      <c r="M4" s="90" t="s">
        <v>11</v>
      </c>
      <c r="N4" s="90" t="s">
        <v>12</v>
      </c>
      <c r="O4" s="90" t="s">
        <v>13</v>
      </c>
      <c r="P4" s="90" t="s">
        <v>14</v>
      </c>
      <c r="Q4" s="90" t="s">
        <v>15</v>
      </c>
      <c r="R4" s="90" t="s">
        <v>16</v>
      </c>
      <c r="S4" s="95" t="s">
        <v>17</v>
      </c>
    </row>
    <row r="5" spans="1:19" s="4" customFormat="1" ht="15" hidden="1" customHeight="1" x14ac:dyDescent="0.2">
      <c r="A5" s="29">
        <v>1</v>
      </c>
      <c r="B5" s="56">
        <v>45247</v>
      </c>
      <c r="C5" s="55">
        <v>45231</v>
      </c>
      <c r="D5" s="34" t="s">
        <v>27</v>
      </c>
      <c r="E5" s="34" t="s">
        <v>28</v>
      </c>
      <c r="F5" s="34"/>
      <c r="G5" s="34" t="s">
        <v>29</v>
      </c>
      <c r="H5" s="31">
        <v>1000287</v>
      </c>
      <c r="I5" s="34" t="s">
        <v>30</v>
      </c>
      <c r="J5" s="34" t="s">
        <v>31</v>
      </c>
      <c r="K5" s="31">
        <v>4064</v>
      </c>
      <c r="L5" s="34" t="s">
        <v>32</v>
      </c>
      <c r="M5" s="31" t="s">
        <v>33</v>
      </c>
      <c r="N5" s="31">
        <v>371011</v>
      </c>
      <c r="O5" s="34">
        <v>10772055</v>
      </c>
      <c r="P5" s="57">
        <v>194</v>
      </c>
      <c r="Q5" s="57" t="s">
        <v>34</v>
      </c>
      <c r="R5" s="58">
        <v>12.39</v>
      </c>
      <c r="S5" s="59">
        <v>2403.6600000000003</v>
      </c>
    </row>
    <row r="6" spans="1:19" s="4" customFormat="1" ht="15" hidden="1" customHeight="1" x14ac:dyDescent="0.2">
      <c r="A6" s="29">
        <v>2</v>
      </c>
      <c r="B6" s="56">
        <v>45247</v>
      </c>
      <c r="C6" s="55">
        <v>45231</v>
      </c>
      <c r="D6" s="34" t="s">
        <v>35</v>
      </c>
      <c r="E6" s="34" t="s">
        <v>28</v>
      </c>
      <c r="F6" s="34"/>
      <c r="G6" s="34" t="s">
        <v>29</v>
      </c>
      <c r="H6" s="31">
        <v>1000287</v>
      </c>
      <c r="I6" s="34" t="s">
        <v>30</v>
      </c>
      <c r="J6" s="34" t="s">
        <v>36</v>
      </c>
      <c r="K6" s="31">
        <v>4064</v>
      </c>
      <c r="L6" s="34" t="s">
        <v>32</v>
      </c>
      <c r="M6" s="31" t="s">
        <v>33</v>
      </c>
      <c r="N6" s="31">
        <v>371011</v>
      </c>
      <c r="O6" s="34">
        <v>10772055</v>
      </c>
      <c r="P6" s="57">
        <v>250</v>
      </c>
      <c r="Q6" s="57" t="s">
        <v>34</v>
      </c>
      <c r="R6" s="58">
        <v>12.39</v>
      </c>
      <c r="S6" s="59">
        <v>3097.5</v>
      </c>
    </row>
    <row r="7" spans="1:19" s="4" customFormat="1" ht="15" hidden="1" customHeight="1" x14ac:dyDescent="0.2">
      <c r="A7" s="29">
        <v>3</v>
      </c>
      <c r="B7" s="56">
        <v>45247</v>
      </c>
      <c r="C7" s="55">
        <v>45231</v>
      </c>
      <c r="D7" s="34" t="s">
        <v>27</v>
      </c>
      <c r="E7" s="34" t="s">
        <v>37</v>
      </c>
      <c r="F7" s="34"/>
      <c r="G7" s="34" t="s">
        <v>29</v>
      </c>
      <c r="H7" s="31">
        <v>1000287</v>
      </c>
      <c r="I7" s="34" t="s">
        <v>30</v>
      </c>
      <c r="J7" s="34" t="s">
        <v>38</v>
      </c>
      <c r="K7" s="31">
        <v>4007</v>
      </c>
      <c r="L7" s="34" t="s">
        <v>39</v>
      </c>
      <c r="M7" s="31" t="s">
        <v>40</v>
      </c>
      <c r="N7" s="31">
        <v>371088</v>
      </c>
      <c r="O7" s="34">
        <v>10772055</v>
      </c>
      <c r="P7" s="57">
        <v>265.7</v>
      </c>
      <c r="Q7" s="57" t="s">
        <v>34</v>
      </c>
      <c r="R7" s="58">
        <v>12.39</v>
      </c>
      <c r="S7" s="59">
        <v>3292.0230000000001</v>
      </c>
    </row>
    <row r="8" spans="1:19" s="4" customFormat="1" ht="15" hidden="1" customHeight="1" x14ac:dyDescent="0.2">
      <c r="A8" s="29">
        <v>4</v>
      </c>
      <c r="B8" s="56">
        <v>45247</v>
      </c>
      <c r="C8" s="55">
        <v>45231</v>
      </c>
      <c r="D8" s="34" t="s">
        <v>41</v>
      </c>
      <c r="E8" s="34" t="s">
        <v>37</v>
      </c>
      <c r="F8" s="34"/>
      <c r="G8" s="34" t="s">
        <v>29</v>
      </c>
      <c r="H8" s="31">
        <v>1000238</v>
      </c>
      <c r="I8" s="34" t="s">
        <v>42</v>
      </c>
      <c r="J8" s="34" t="s">
        <v>43</v>
      </c>
      <c r="K8" s="31">
        <v>4007</v>
      </c>
      <c r="L8" s="34" t="s">
        <v>39</v>
      </c>
      <c r="M8" s="31" t="s">
        <v>40</v>
      </c>
      <c r="N8" s="31">
        <v>371088</v>
      </c>
      <c r="O8" s="34">
        <v>10772055</v>
      </c>
      <c r="P8" s="57">
        <v>1</v>
      </c>
      <c r="Q8" s="57" t="s">
        <v>26</v>
      </c>
      <c r="R8" s="58">
        <v>405.3</v>
      </c>
      <c r="S8" s="59">
        <v>405.3</v>
      </c>
    </row>
    <row r="9" spans="1:19" s="4" customFormat="1" ht="15" hidden="1" customHeight="1" x14ac:dyDescent="0.2">
      <c r="A9" s="29">
        <v>5</v>
      </c>
      <c r="B9" s="56">
        <v>45247</v>
      </c>
      <c r="C9" s="55">
        <v>45231</v>
      </c>
      <c r="D9" s="34" t="s">
        <v>35</v>
      </c>
      <c r="E9" s="34" t="s">
        <v>37</v>
      </c>
      <c r="F9" s="34"/>
      <c r="G9" s="34" t="s">
        <v>29</v>
      </c>
      <c r="H9" s="31">
        <v>1000287</v>
      </c>
      <c r="I9" s="34" t="s">
        <v>30</v>
      </c>
      <c r="J9" s="34" t="s">
        <v>44</v>
      </c>
      <c r="K9" s="31">
        <v>4007</v>
      </c>
      <c r="L9" s="34" t="s">
        <v>39</v>
      </c>
      <c r="M9" s="31" t="s">
        <v>40</v>
      </c>
      <c r="N9" s="31">
        <v>371088</v>
      </c>
      <c r="O9" s="34">
        <v>10772055</v>
      </c>
      <c r="P9" s="57">
        <v>250</v>
      </c>
      <c r="Q9" s="57" t="s">
        <v>34</v>
      </c>
      <c r="R9" s="58">
        <v>12.39</v>
      </c>
      <c r="S9" s="59">
        <v>3097.5</v>
      </c>
    </row>
    <row r="10" spans="1:19" s="4" customFormat="1" ht="15" hidden="1" customHeight="1" x14ac:dyDescent="0.2">
      <c r="A10" s="29">
        <v>6</v>
      </c>
      <c r="B10" s="56">
        <v>45247</v>
      </c>
      <c r="C10" s="55">
        <v>45231</v>
      </c>
      <c r="D10" s="34" t="s">
        <v>45</v>
      </c>
      <c r="E10" s="34" t="s">
        <v>37</v>
      </c>
      <c r="F10" s="34"/>
      <c r="G10" s="34" t="s">
        <v>29</v>
      </c>
      <c r="H10" s="31" t="s">
        <v>21</v>
      </c>
      <c r="I10" s="34" t="s">
        <v>46</v>
      </c>
      <c r="J10" s="34" t="s">
        <v>47</v>
      </c>
      <c r="K10" s="31">
        <v>4007</v>
      </c>
      <c r="L10" s="34" t="s">
        <v>39</v>
      </c>
      <c r="M10" s="31" t="s">
        <v>40</v>
      </c>
      <c r="N10" s="31">
        <v>371088</v>
      </c>
      <c r="O10" s="34">
        <v>10772055</v>
      </c>
      <c r="P10" s="57">
        <v>1</v>
      </c>
      <c r="Q10" s="57" t="s">
        <v>26</v>
      </c>
      <c r="R10" s="58">
        <v>4000</v>
      </c>
      <c r="S10" s="59">
        <v>4000</v>
      </c>
    </row>
    <row r="11" spans="1:19" s="4" customFormat="1" ht="15" hidden="1" customHeight="1" x14ac:dyDescent="0.2">
      <c r="A11" s="29">
        <v>7</v>
      </c>
      <c r="B11" s="56">
        <v>45275</v>
      </c>
      <c r="C11" s="55">
        <v>45231</v>
      </c>
      <c r="D11" s="34" t="s">
        <v>27</v>
      </c>
      <c r="E11" s="34" t="s">
        <v>19</v>
      </c>
      <c r="F11" s="34"/>
      <c r="G11" s="34" t="s">
        <v>29</v>
      </c>
      <c r="H11" s="31">
        <v>1000287</v>
      </c>
      <c r="I11" s="34" t="s">
        <v>30</v>
      </c>
      <c r="J11" s="34" t="s">
        <v>48</v>
      </c>
      <c r="K11" s="31">
        <v>4060</v>
      </c>
      <c r="L11" s="34" t="s">
        <v>49</v>
      </c>
      <c r="M11" s="31" t="s">
        <v>50</v>
      </c>
      <c r="N11" s="31">
        <v>371075</v>
      </c>
      <c r="O11" s="34">
        <v>10772055</v>
      </c>
      <c r="P11" s="57">
        <v>144</v>
      </c>
      <c r="Q11" s="57" t="s">
        <v>34</v>
      </c>
      <c r="R11" s="58">
        <v>12.39</v>
      </c>
      <c r="S11" s="59">
        <v>1784.16</v>
      </c>
    </row>
    <row r="12" spans="1:19" s="4" customFormat="1" ht="15" hidden="1" customHeight="1" x14ac:dyDescent="0.2">
      <c r="A12" s="29">
        <v>8</v>
      </c>
      <c r="B12" s="56">
        <v>45275</v>
      </c>
      <c r="C12" s="55">
        <v>45231</v>
      </c>
      <c r="D12" s="34" t="s">
        <v>41</v>
      </c>
      <c r="E12" s="34" t="s">
        <v>19</v>
      </c>
      <c r="F12" s="34"/>
      <c r="G12" s="34" t="s">
        <v>29</v>
      </c>
      <c r="H12" s="31">
        <v>1000238</v>
      </c>
      <c r="I12" s="34" t="s">
        <v>42</v>
      </c>
      <c r="J12" s="34" t="s">
        <v>51</v>
      </c>
      <c r="K12" s="31">
        <v>4060</v>
      </c>
      <c r="L12" s="34" t="s">
        <v>49</v>
      </c>
      <c r="M12" s="31" t="s">
        <v>50</v>
      </c>
      <c r="N12" s="31">
        <v>371075</v>
      </c>
      <c r="O12" s="34">
        <v>10772055</v>
      </c>
      <c r="P12" s="57">
        <v>1</v>
      </c>
      <c r="Q12" s="57" t="s">
        <v>26</v>
      </c>
      <c r="R12" s="58">
        <v>267.68</v>
      </c>
      <c r="S12" s="59">
        <v>267.68</v>
      </c>
    </row>
    <row r="13" spans="1:19" s="4" customFormat="1" ht="15" hidden="1" customHeight="1" x14ac:dyDescent="0.2">
      <c r="A13" s="29">
        <v>9</v>
      </c>
      <c r="B13" s="56">
        <v>45277</v>
      </c>
      <c r="C13" s="55">
        <v>45231</v>
      </c>
      <c r="D13" s="34" t="s">
        <v>27</v>
      </c>
      <c r="E13" s="34" t="s">
        <v>52</v>
      </c>
      <c r="F13" s="34"/>
      <c r="G13" s="34" t="s">
        <v>29</v>
      </c>
      <c r="H13" s="31">
        <v>1000287</v>
      </c>
      <c r="I13" s="34" t="s">
        <v>30</v>
      </c>
      <c r="J13" s="34" t="s">
        <v>53</v>
      </c>
      <c r="K13" s="31">
        <v>4010</v>
      </c>
      <c r="L13" s="34" t="s">
        <v>54</v>
      </c>
      <c r="M13" s="31" t="s">
        <v>55</v>
      </c>
      <c r="N13" s="31">
        <v>371055</v>
      </c>
      <c r="O13" s="34">
        <v>10772055</v>
      </c>
      <c r="P13" s="57">
        <v>673</v>
      </c>
      <c r="Q13" s="57" t="s">
        <v>34</v>
      </c>
      <c r="R13" s="58">
        <v>12.39</v>
      </c>
      <c r="S13" s="59">
        <v>8338.4700000000012</v>
      </c>
    </row>
    <row r="14" spans="1:19" s="4" customFormat="1" ht="15" hidden="1" customHeight="1" x14ac:dyDescent="0.2">
      <c r="A14" s="29">
        <v>10</v>
      </c>
      <c r="B14" s="56">
        <v>45277</v>
      </c>
      <c r="C14" s="55">
        <v>45231</v>
      </c>
      <c r="D14" s="34" t="s">
        <v>41</v>
      </c>
      <c r="E14" s="34" t="s">
        <v>52</v>
      </c>
      <c r="F14" s="34"/>
      <c r="G14" s="34" t="s">
        <v>29</v>
      </c>
      <c r="H14" s="31">
        <v>1000238</v>
      </c>
      <c r="I14" s="34" t="s">
        <v>42</v>
      </c>
      <c r="J14" s="34" t="s">
        <v>56</v>
      </c>
      <c r="K14" s="31">
        <v>4010</v>
      </c>
      <c r="L14" s="34" t="s">
        <v>54</v>
      </c>
      <c r="M14" s="31" t="s">
        <v>55</v>
      </c>
      <c r="N14" s="31">
        <v>371055</v>
      </c>
      <c r="O14" s="34">
        <v>10772055</v>
      </c>
      <c r="P14" s="57">
        <v>1</v>
      </c>
      <c r="Q14" s="57" t="s">
        <v>26</v>
      </c>
      <c r="R14" s="58">
        <v>616</v>
      </c>
      <c r="S14" s="59">
        <v>616</v>
      </c>
    </row>
    <row r="15" spans="1:19" s="4" customFormat="1" ht="15" hidden="1" customHeight="1" x14ac:dyDescent="0.2">
      <c r="A15" s="29">
        <v>11</v>
      </c>
      <c r="B15" s="56">
        <v>45280</v>
      </c>
      <c r="C15" s="55">
        <v>45231</v>
      </c>
      <c r="D15" s="34" t="s">
        <v>27</v>
      </c>
      <c r="E15" s="34" t="s">
        <v>383</v>
      </c>
      <c r="F15" s="34"/>
      <c r="G15" s="34" t="s">
        <v>29</v>
      </c>
      <c r="H15" s="31">
        <v>1000287</v>
      </c>
      <c r="I15" s="34" t="s">
        <v>30</v>
      </c>
      <c r="J15" s="34" t="s">
        <v>58</v>
      </c>
      <c r="K15" s="31">
        <v>4091</v>
      </c>
      <c r="L15" s="34" t="s">
        <v>59</v>
      </c>
      <c r="M15" s="31" t="s">
        <v>60</v>
      </c>
      <c r="N15" s="31">
        <v>371065</v>
      </c>
      <c r="O15" s="34">
        <v>10772055</v>
      </c>
      <c r="P15" s="57">
        <v>902.3</v>
      </c>
      <c r="Q15" s="57" t="s">
        <v>34</v>
      </c>
      <c r="R15" s="58">
        <v>12.39</v>
      </c>
      <c r="S15" s="59">
        <v>11179.496999999999</v>
      </c>
    </row>
    <row r="16" spans="1:19" s="4" customFormat="1" ht="15" hidden="1" customHeight="1" x14ac:dyDescent="0.2">
      <c r="A16" s="29">
        <v>12</v>
      </c>
      <c r="B16" s="56">
        <v>45280</v>
      </c>
      <c r="C16" s="55">
        <v>45231</v>
      </c>
      <c r="D16" s="34" t="s">
        <v>41</v>
      </c>
      <c r="E16" s="34" t="s">
        <v>383</v>
      </c>
      <c r="F16" s="34"/>
      <c r="G16" s="34" t="s">
        <v>29</v>
      </c>
      <c r="H16" s="31">
        <v>1000238</v>
      </c>
      <c r="I16" s="34" t="s">
        <v>42</v>
      </c>
      <c r="J16" s="34" t="s">
        <v>61</v>
      </c>
      <c r="K16" s="31">
        <v>4091</v>
      </c>
      <c r="L16" s="34" t="s">
        <v>59</v>
      </c>
      <c r="M16" s="31" t="s">
        <v>60</v>
      </c>
      <c r="N16" s="31">
        <v>371065</v>
      </c>
      <c r="O16" s="34">
        <v>10772055</v>
      </c>
      <c r="P16" s="57">
        <v>1</v>
      </c>
      <c r="Q16" s="57" t="s">
        <v>26</v>
      </c>
      <c r="R16" s="58">
        <v>676.2</v>
      </c>
      <c r="S16" s="59">
        <v>676.2</v>
      </c>
    </row>
    <row r="17" spans="1:19" s="4" customFormat="1" ht="15" hidden="1" customHeight="1" x14ac:dyDescent="0.2">
      <c r="A17" s="29">
        <v>13</v>
      </c>
      <c r="B17" s="56">
        <v>45282</v>
      </c>
      <c r="C17" s="55">
        <v>45292</v>
      </c>
      <c r="D17" s="34" t="s">
        <v>27</v>
      </c>
      <c r="E17" s="34" t="s">
        <v>383</v>
      </c>
      <c r="F17" s="34"/>
      <c r="G17" s="34" t="s">
        <v>29</v>
      </c>
      <c r="H17" s="31">
        <v>1000287</v>
      </c>
      <c r="I17" s="34" t="s">
        <v>30</v>
      </c>
      <c r="J17" s="34" t="s">
        <v>62</v>
      </c>
      <c r="K17" s="31">
        <v>4016</v>
      </c>
      <c r="L17" s="34" t="s">
        <v>63</v>
      </c>
      <c r="M17" s="31" t="s">
        <v>64</v>
      </c>
      <c r="N17" s="31">
        <v>371065</v>
      </c>
      <c r="O17" s="34">
        <v>10772055</v>
      </c>
      <c r="P17" s="57">
        <v>1393.1</v>
      </c>
      <c r="Q17" s="57" t="s">
        <v>34</v>
      </c>
      <c r="R17" s="58">
        <v>12.39</v>
      </c>
      <c r="S17" s="59">
        <v>17260.508999999998</v>
      </c>
    </row>
    <row r="18" spans="1:19" s="4" customFormat="1" ht="15" hidden="1" customHeight="1" x14ac:dyDescent="0.2">
      <c r="A18" s="29">
        <v>14</v>
      </c>
      <c r="B18" s="56">
        <v>45282</v>
      </c>
      <c r="C18" s="55">
        <v>45292</v>
      </c>
      <c r="D18" s="34" t="s">
        <v>41</v>
      </c>
      <c r="E18" s="34" t="s">
        <v>383</v>
      </c>
      <c r="F18" s="34"/>
      <c r="G18" s="34" t="s">
        <v>29</v>
      </c>
      <c r="H18" s="31">
        <v>1000238</v>
      </c>
      <c r="I18" s="34" t="s">
        <v>42</v>
      </c>
      <c r="J18" s="34" t="s">
        <v>65</v>
      </c>
      <c r="K18" s="31">
        <v>4016</v>
      </c>
      <c r="L18" s="34" t="s">
        <v>63</v>
      </c>
      <c r="M18" s="31" t="s">
        <v>64</v>
      </c>
      <c r="N18" s="31">
        <v>371065</v>
      </c>
      <c r="O18" s="34">
        <v>10772055</v>
      </c>
      <c r="P18" s="57">
        <v>1</v>
      </c>
      <c r="Q18" s="57" t="s">
        <v>26</v>
      </c>
      <c r="R18" s="58">
        <v>1827.8</v>
      </c>
      <c r="S18" s="59">
        <v>1827.8</v>
      </c>
    </row>
    <row r="19" spans="1:19" s="4" customFormat="1" ht="15" hidden="1" customHeight="1" x14ac:dyDescent="0.2">
      <c r="A19" s="29">
        <v>15</v>
      </c>
      <c r="B19" s="56">
        <v>45283</v>
      </c>
      <c r="C19" s="55">
        <v>45292</v>
      </c>
      <c r="D19" s="34" t="s">
        <v>27</v>
      </c>
      <c r="E19" s="34" t="s">
        <v>383</v>
      </c>
      <c r="F19" s="34"/>
      <c r="G19" s="34" t="s">
        <v>29</v>
      </c>
      <c r="H19" s="31">
        <v>1000287</v>
      </c>
      <c r="I19" s="34" t="s">
        <v>30</v>
      </c>
      <c r="J19" s="34" t="s">
        <v>66</v>
      </c>
      <c r="K19" s="31">
        <v>4067</v>
      </c>
      <c r="L19" s="34" t="s">
        <v>67</v>
      </c>
      <c r="M19" s="31" t="s">
        <v>68</v>
      </c>
      <c r="N19" s="31">
        <v>371065</v>
      </c>
      <c r="O19" s="34">
        <v>10772055</v>
      </c>
      <c r="P19" s="57">
        <v>446.2</v>
      </c>
      <c r="Q19" s="57" t="s">
        <v>34</v>
      </c>
      <c r="R19" s="58">
        <v>12.39</v>
      </c>
      <c r="S19" s="59">
        <v>5528.4179999999997</v>
      </c>
    </row>
    <row r="20" spans="1:19" s="4" customFormat="1" ht="15" hidden="1" customHeight="1" x14ac:dyDescent="0.2">
      <c r="A20" s="29">
        <v>16</v>
      </c>
      <c r="B20" s="56">
        <v>45283</v>
      </c>
      <c r="C20" s="55">
        <v>45292</v>
      </c>
      <c r="D20" s="34" t="s">
        <v>41</v>
      </c>
      <c r="E20" s="34" t="s">
        <v>383</v>
      </c>
      <c r="F20" s="34"/>
      <c r="G20" s="34" t="s">
        <v>29</v>
      </c>
      <c r="H20" s="31">
        <v>1000238</v>
      </c>
      <c r="I20" s="34" t="s">
        <v>42</v>
      </c>
      <c r="J20" s="34" t="s">
        <v>69</v>
      </c>
      <c r="K20" s="31">
        <v>4067</v>
      </c>
      <c r="L20" s="34" t="s">
        <v>67</v>
      </c>
      <c r="M20" s="31" t="s">
        <v>68</v>
      </c>
      <c r="N20" s="31">
        <v>371065</v>
      </c>
      <c r="O20" s="34">
        <v>10772055</v>
      </c>
      <c r="P20" s="57">
        <v>1</v>
      </c>
      <c r="Q20" s="57" t="s">
        <v>26</v>
      </c>
      <c r="R20" s="58">
        <v>346.17</v>
      </c>
      <c r="S20" s="59">
        <v>346.17</v>
      </c>
    </row>
    <row r="21" spans="1:19" s="4" customFormat="1" ht="15" hidden="1" customHeight="1" x14ac:dyDescent="0.2">
      <c r="A21" s="29">
        <v>17</v>
      </c>
      <c r="B21" s="56">
        <v>45283</v>
      </c>
      <c r="C21" s="55">
        <v>45292</v>
      </c>
      <c r="D21" s="34" t="s">
        <v>35</v>
      </c>
      <c r="E21" s="34" t="s">
        <v>383</v>
      </c>
      <c r="F21" s="34"/>
      <c r="G21" s="34" t="s">
        <v>29</v>
      </c>
      <c r="H21" s="31">
        <v>1000287</v>
      </c>
      <c r="I21" s="34" t="s">
        <v>30</v>
      </c>
      <c r="J21" s="34" t="s">
        <v>70</v>
      </c>
      <c r="K21" s="31">
        <v>4067</v>
      </c>
      <c r="L21" s="34" t="s">
        <v>67</v>
      </c>
      <c r="M21" s="31" t="s">
        <v>68</v>
      </c>
      <c r="N21" s="31">
        <v>371065</v>
      </c>
      <c r="O21" s="34">
        <v>10772055</v>
      </c>
      <c r="P21" s="57">
        <v>250</v>
      </c>
      <c r="Q21" s="57" t="s">
        <v>34</v>
      </c>
      <c r="R21" s="58">
        <v>12.39</v>
      </c>
      <c r="S21" s="59">
        <v>3097.5</v>
      </c>
    </row>
    <row r="22" spans="1:19" s="4" customFormat="1" ht="15" hidden="1" customHeight="1" x14ac:dyDescent="0.2">
      <c r="A22" s="29">
        <v>18</v>
      </c>
      <c r="B22" s="56">
        <v>45283</v>
      </c>
      <c r="C22" s="55">
        <v>45292</v>
      </c>
      <c r="D22" s="34" t="s">
        <v>27</v>
      </c>
      <c r="E22" s="34" t="s">
        <v>383</v>
      </c>
      <c r="F22" s="34"/>
      <c r="G22" s="34" t="s">
        <v>29</v>
      </c>
      <c r="H22" s="31">
        <v>1000287</v>
      </c>
      <c r="I22" s="34" t="s">
        <v>30</v>
      </c>
      <c r="J22" s="34" t="s">
        <v>71</v>
      </c>
      <c r="K22" s="31">
        <v>4016</v>
      </c>
      <c r="L22" s="34" t="s">
        <v>63</v>
      </c>
      <c r="M22" s="31" t="s">
        <v>64</v>
      </c>
      <c r="N22" s="31">
        <v>371065</v>
      </c>
      <c r="O22" s="34">
        <v>10772055</v>
      </c>
      <c r="P22" s="57">
        <v>422.8</v>
      </c>
      <c r="Q22" s="57" t="s">
        <v>34</v>
      </c>
      <c r="R22" s="58">
        <v>12.39</v>
      </c>
      <c r="S22" s="59">
        <v>5238.4920000000002</v>
      </c>
    </row>
    <row r="23" spans="1:19" s="4" customFormat="1" ht="15" hidden="1" customHeight="1" x14ac:dyDescent="0.2">
      <c r="A23" s="29">
        <v>19</v>
      </c>
      <c r="B23" s="56">
        <v>45283</v>
      </c>
      <c r="C23" s="55">
        <v>45292</v>
      </c>
      <c r="D23" s="34" t="s">
        <v>41</v>
      </c>
      <c r="E23" s="34" t="s">
        <v>383</v>
      </c>
      <c r="F23" s="34"/>
      <c r="G23" s="34" t="s">
        <v>29</v>
      </c>
      <c r="H23" s="31">
        <v>1000238</v>
      </c>
      <c r="I23" s="34" t="s">
        <v>42</v>
      </c>
      <c r="J23" s="34" t="s">
        <v>72</v>
      </c>
      <c r="K23" s="31">
        <v>4016</v>
      </c>
      <c r="L23" s="34" t="s">
        <v>63</v>
      </c>
      <c r="M23" s="31" t="s">
        <v>64</v>
      </c>
      <c r="N23" s="31">
        <v>371065</v>
      </c>
      <c r="O23" s="34">
        <v>10772055</v>
      </c>
      <c r="P23" s="57">
        <v>1</v>
      </c>
      <c r="Q23" s="57" t="s">
        <v>26</v>
      </c>
      <c r="R23" s="58">
        <v>288.12</v>
      </c>
      <c r="S23" s="59">
        <v>288.12</v>
      </c>
    </row>
    <row r="24" spans="1:19" s="4" customFormat="1" ht="15" hidden="1" customHeight="1" x14ac:dyDescent="0.2">
      <c r="A24" s="29">
        <v>20</v>
      </c>
      <c r="B24" s="56">
        <v>45283</v>
      </c>
      <c r="C24" s="55">
        <v>45292</v>
      </c>
      <c r="D24" s="34" t="s">
        <v>35</v>
      </c>
      <c r="E24" s="34" t="s">
        <v>383</v>
      </c>
      <c r="F24" s="34"/>
      <c r="G24" s="34" t="s">
        <v>29</v>
      </c>
      <c r="H24" s="31">
        <v>1000287</v>
      </c>
      <c r="I24" s="34" t="s">
        <v>30</v>
      </c>
      <c r="J24" s="34" t="s">
        <v>73</v>
      </c>
      <c r="K24" s="31">
        <v>4016</v>
      </c>
      <c r="L24" s="34" t="s">
        <v>63</v>
      </c>
      <c r="M24" s="31" t="s">
        <v>64</v>
      </c>
      <c r="N24" s="31">
        <v>371065</v>
      </c>
      <c r="O24" s="34">
        <v>10772055</v>
      </c>
      <c r="P24" s="57">
        <v>250</v>
      </c>
      <c r="Q24" s="57" t="s">
        <v>34</v>
      </c>
      <c r="R24" s="58">
        <v>12.39</v>
      </c>
      <c r="S24" s="59">
        <v>3097.5</v>
      </c>
    </row>
    <row r="25" spans="1:19" s="4" customFormat="1" ht="15" hidden="1" customHeight="1" x14ac:dyDescent="0.2">
      <c r="A25" s="29">
        <v>21</v>
      </c>
      <c r="B25" s="56">
        <v>45289</v>
      </c>
      <c r="C25" s="55">
        <v>45292</v>
      </c>
      <c r="D25" s="34" t="s">
        <v>27</v>
      </c>
      <c r="E25" s="34" t="s">
        <v>74</v>
      </c>
      <c r="F25" s="34"/>
      <c r="G25" s="34" t="s">
        <v>75</v>
      </c>
      <c r="H25" s="31">
        <v>1000287</v>
      </c>
      <c r="I25" s="34" t="s">
        <v>30</v>
      </c>
      <c r="J25" s="34" t="s">
        <v>76</v>
      </c>
      <c r="K25" s="31">
        <v>4048</v>
      </c>
      <c r="L25" s="34" t="s">
        <v>77</v>
      </c>
      <c r="M25" s="31" t="s">
        <v>78</v>
      </c>
      <c r="N25" s="31">
        <v>371045</v>
      </c>
      <c r="O25" s="34">
        <v>10771210</v>
      </c>
      <c r="P25" s="57">
        <v>301</v>
      </c>
      <c r="Q25" s="57" t="s">
        <v>34</v>
      </c>
      <c r="R25" s="58">
        <v>12.28</v>
      </c>
      <c r="S25" s="59">
        <v>3696.2799999999997</v>
      </c>
    </row>
    <row r="26" spans="1:19" s="4" customFormat="1" ht="15" hidden="1" customHeight="1" x14ac:dyDescent="0.2">
      <c r="A26" s="29">
        <v>22</v>
      </c>
      <c r="B26" s="56">
        <v>45289</v>
      </c>
      <c r="C26" s="55">
        <v>45292</v>
      </c>
      <c r="D26" s="34" t="s">
        <v>41</v>
      </c>
      <c r="E26" s="34" t="s">
        <v>74</v>
      </c>
      <c r="F26" s="34"/>
      <c r="G26" s="34" t="s">
        <v>75</v>
      </c>
      <c r="H26" s="31">
        <v>1000238</v>
      </c>
      <c r="I26" s="34" t="s">
        <v>42</v>
      </c>
      <c r="J26" s="34" t="s">
        <v>79</v>
      </c>
      <c r="K26" s="31">
        <v>4048</v>
      </c>
      <c r="L26" s="34" t="s">
        <v>77</v>
      </c>
      <c r="M26" s="31" t="s">
        <v>78</v>
      </c>
      <c r="N26" s="31">
        <v>371045</v>
      </c>
      <c r="O26" s="34">
        <v>10771210</v>
      </c>
      <c r="P26" s="57">
        <v>1</v>
      </c>
      <c r="Q26" s="57" t="s">
        <v>26</v>
      </c>
      <c r="R26" s="58">
        <v>171.8</v>
      </c>
      <c r="S26" s="59">
        <v>171.8</v>
      </c>
    </row>
    <row r="27" spans="1:19" s="4" customFormat="1" ht="15" hidden="1" customHeight="1" x14ac:dyDescent="0.2">
      <c r="A27" s="29">
        <v>23</v>
      </c>
      <c r="B27" s="56">
        <v>45293</v>
      </c>
      <c r="C27" s="55">
        <v>45292</v>
      </c>
      <c r="D27" s="34" t="s">
        <v>27</v>
      </c>
      <c r="E27" s="34" t="s">
        <v>74</v>
      </c>
      <c r="F27" s="34"/>
      <c r="G27" s="34" t="s">
        <v>75</v>
      </c>
      <c r="H27" s="31">
        <v>1000287</v>
      </c>
      <c r="I27" s="34" t="s">
        <v>30</v>
      </c>
      <c r="J27" s="34" t="s">
        <v>80</v>
      </c>
      <c r="K27" s="31">
        <v>4048</v>
      </c>
      <c r="L27" s="34" t="s">
        <v>77</v>
      </c>
      <c r="M27" s="31" t="s">
        <v>81</v>
      </c>
      <c r="N27" s="31">
        <v>371045</v>
      </c>
      <c r="O27" s="34">
        <v>10771210</v>
      </c>
      <c r="P27" s="57">
        <v>250</v>
      </c>
      <c r="Q27" s="57" t="s">
        <v>34</v>
      </c>
      <c r="R27" s="58">
        <v>12.28</v>
      </c>
      <c r="S27" s="59">
        <v>3070</v>
      </c>
    </row>
    <row r="28" spans="1:19" s="4" customFormat="1" ht="15" hidden="1" customHeight="1" x14ac:dyDescent="0.2">
      <c r="A28" s="29">
        <v>24</v>
      </c>
      <c r="B28" s="56">
        <v>45293</v>
      </c>
      <c r="C28" s="55">
        <v>45292</v>
      </c>
      <c r="D28" s="34" t="s">
        <v>41</v>
      </c>
      <c r="E28" s="34" t="s">
        <v>74</v>
      </c>
      <c r="F28" s="34"/>
      <c r="G28" s="34" t="s">
        <v>75</v>
      </c>
      <c r="H28" s="31">
        <v>1000238</v>
      </c>
      <c r="I28" s="34" t="s">
        <v>42</v>
      </c>
      <c r="J28" s="34" t="s">
        <v>80</v>
      </c>
      <c r="K28" s="31">
        <v>4048</v>
      </c>
      <c r="L28" s="34" t="s">
        <v>77</v>
      </c>
      <c r="M28" s="31" t="s">
        <v>81</v>
      </c>
      <c r="N28" s="31">
        <v>371045</v>
      </c>
      <c r="O28" s="34">
        <v>10771210</v>
      </c>
      <c r="P28" s="57">
        <v>1</v>
      </c>
      <c r="Q28" s="57" t="s">
        <v>26</v>
      </c>
      <c r="R28" s="58">
        <v>176.03</v>
      </c>
      <c r="S28" s="59">
        <v>176.03</v>
      </c>
    </row>
    <row r="29" spans="1:19" s="4" customFormat="1" ht="15" hidden="1" customHeight="1" x14ac:dyDescent="0.2">
      <c r="A29" s="29">
        <v>25</v>
      </c>
      <c r="B29" s="56">
        <v>45296</v>
      </c>
      <c r="C29" s="55">
        <v>45323</v>
      </c>
      <c r="D29" s="34" t="s">
        <v>82</v>
      </c>
      <c r="E29" s="34" t="s">
        <v>28</v>
      </c>
      <c r="F29" s="34"/>
      <c r="G29" s="34" t="s">
        <v>83</v>
      </c>
      <c r="H29" s="31">
        <v>2700092</v>
      </c>
      <c r="I29" s="34" t="s">
        <v>84</v>
      </c>
      <c r="J29" s="34" t="s">
        <v>85</v>
      </c>
      <c r="K29" s="31">
        <v>4015</v>
      </c>
      <c r="L29" s="34" t="s">
        <v>86</v>
      </c>
      <c r="M29" s="31" t="s">
        <v>87</v>
      </c>
      <c r="N29" s="31">
        <v>371011</v>
      </c>
      <c r="O29" s="34">
        <v>10775471</v>
      </c>
      <c r="P29" s="57">
        <v>122.25</v>
      </c>
      <c r="Q29" s="57" t="s">
        <v>34</v>
      </c>
      <c r="R29" s="58">
        <v>5.25</v>
      </c>
      <c r="S29" s="59">
        <v>641.8125</v>
      </c>
    </row>
    <row r="30" spans="1:19" s="4" customFormat="1" ht="15" hidden="1" customHeight="1" x14ac:dyDescent="0.2">
      <c r="A30" s="29">
        <v>26</v>
      </c>
      <c r="B30" s="56">
        <v>45297</v>
      </c>
      <c r="C30" s="55">
        <v>45292</v>
      </c>
      <c r="D30" s="34" t="s">
        <v>27</v>
      </c>
      <c r="E30" s="34" t="s">
        <v>74</v>
      </c>
      <c r="F30" s="34"/>
      <c r="G30" s="34" t="s">
        <v>75</v>
      </c>
      <c r="H30" s="31">
        <v>1000287</v>
      </c>
      <c r="I30" s="34" t="s">
        <v>30</v>
      </c>
      <c r="J30" s="34" t="s">
        <v>88</v>
      </c>
      <c r="K30" s="31">
        <v>4045</v>
      </c>
      <c r="L30" s="34" t="s">
        <v>89</v>
      </c>
      <c r="M30" s="31" t="s">
        <v>90</v>
      </c>
      <c r="N30" s="31">
        <v>371045</v>
      </c>
      <c r="O30" s="34">
        <v>10771210</v>
      </c>
      <c r="P30" s="57">
        <v>555</v>
      </c>
      <c r="Q30" s="57" t="s">
        <v>34</v>
      </c>
      <c r="R30" s="58">
        <v>12.28</v>
      </c>
      <c r="S30" s="59">
        <v>6815.4</v>
      </c>
    </row>
    <row r="31" spans="1:19" s="4" customFormat="1" ht="15" hidden="1" customHeight="1" x14ac:dyDescent="0.2">
      <c r="A31" s="29">
        <v>27</v>
      </c>
      <c r="B31" s="56">
        <v>45297</v>
      </c>
      <c r="C31" s="55">
        <v>45292</v>
      </c>
      <c r="D31" s="34" t="s">
        <v>41</v>
      </c>
      <c r="E31" s="34" t="s">
        <v>74</v>
      </c>
      <c r="F31" s="34"/>
      <c r="G31" s="34" t="s">
        <v>75</v>
      </c>
      <c r="H31" s="31">
        <v>1000238</v>
      </c>
      <c r="I31" s="34" t="s">
        <v>42</v>
      </c>
      <c r="J31" s="34" t="s">
        <v>88</v>
      </c>
      <c r="K31" s="31">
        <v>4045</v>
      </c>
      <c r="L31" s="34" t="s">
        <v>89</v>
      </c>
      <c r="M31" s="31" t="s">
        <v>90</v>
      </c>
      <c r="N31" s="31">
        <v>371045</v>
      </c>
      <c r="O31" s="34">
        <v>10771210</v>
      </c>
      <c r="P31" s="57">
        <v>1</v>
      </c>
      <c r="Q31" s="57" t="s">
        <v>26</v>
      </c>
      <c r="R31" s="58">
        <v>704.28</v>
      </c>
      <c r="S31" s="59">
        <v>704.28</v>
      </c>
    </row>
    <row r="32" spans="1:19" s="4" customFormat="1" ht="15" hidden="1" customHeight="1" x14ac:dyDescent="0.2">
      <c r="A32" s="29">
        <v>28</v>
      </c>
      <c r="B32" s="56">
        <v>45299</v>
      </c>
      <c r="C32" s="55">
        <v>45292</v>
      </c>
      <c r="D32" s="34" t="s">
        <v>27</v>
      </c>
      <c r="E32" s="34" t="s">
        <v>383</v>
      </c>
      <c r="F32" s="34"/>
      <c r="G32" s="34" t="s">
        <v>29</v>
      </c>
      <c r="H32" s="31">
        <v>1000287</v>
      </c>
      <c r="I32" s="34" t="s">
        <v>30</v>
      </c>
      <c r="J32" s="34" t="s">
        <v>91</v>
      </c>
      <c r="K32" s="31">
        <v>4048</v>
      </c>
      <c r="L32" s="34" t="s">
        <v>77</v>
      </c>
      <c r="M32" s="31" t="s">
        <v>92</v>
      </c>
      <c r="N32" s="31">
        <v>371065</v>
      </c>
      <c r="O32" s="34">
        <v>10772662</v>
      </c>
      <c r="P32" s="57">
        <v>870.9</v>
      </c>
      <c r="Q32" s="57" t="s">
        <v>34</v>
      </c>
      <c r="R32" s="58">
        <v>13.69</v>
      </c>
      <c r="S32" s="59">
        <v>11922.620999999999</v>
      </c>
    </row>
    <row r="33" spans="1:19" s="4" customFormat="1" ht="15" hidden="1" customHeight="1" x14ac:dyDescent="0.2">
      <c r="A33" s="29">
        <v>29</v>
      </c>
      <c r="B33" s="56">
        <v>45299</v>
      </c>
      <c r="C33" s="55">
        <v>45292</v>
      </c>
      <c r="D33" s="34" t="s">
        <v>41</v>
      </c>
      <c r="E33" s="34" t="s">
        <v>383</v>
      </c>
      <c r="F33" s="34"/>
      <c r="G33" s="34" t="s">
        <v>29</v>
      </c>
      <c r="H33" s="31">
        <v>1000238</v>
      </c>
      <c r="I33" s="34" t="s">
        <v>42</v>
      </c>
      <c r="J33" s="34" t="s">
        <v>91</v>
      </c>
      <c r="K33" s="31">
        <v>4048</v>
      </c>
      <c r="L33" s="34" t="s">
        <v>77</v>
      </c>
      <c r="M33" s="31" t="s">
        <v>92</v>
      </c>
      <c r="N33" s="31">
        <v>371065</v>
      </c>
      <c r="O33" s="34">
        <v>10772662</v>
      </c>
      <c r="P33" s="57">
        <v>1</v>
      </c>
      <c r="Q33" s="57" t="s">
        <v>26</v>
      </c>
      <c r="R33" s="58">
        <v>776.81</v>
      </c>
      <c r="S33" s="59">
        <v>776.81</v>
      </c>
    </row>
    <row r="34" spans="1:19" s="4" customFormat="1" ht="15" hidden="1" customHeight="1" x14ac:dyDescent="0.2">
      <c r="A34" s="29">
        <v>30</v>
      </c>
      <c r="B34" s="56">
        <v>45299</v>
      </c>
      <c r="C34" s="55">
        <v>45292</v>
      </c>
      <c r="D34" s="34" t="s">
        <v>35</v>
      </c>
      <c r="E34" s="34" t="s">
        <v>383</v>
      </c>
      <c r="F34" s="34"/>
      <c r="G34" s="34" t="s">
        <v>29</v>
      </c>
      <c r="H34" s="31">
        <v>1000287</v>
      </c>
      <c r="I34" s="34" t="s">
        <v>30</v>
      </c>
      <c r="J34" s="34" t="s">
        <v>93</v>
      </c>
      <c r="K34" s="31">
        <v>4048</v>
      </c>
      <c r="L34" s="34" t="s">
        <v>77</v>
      </c>
      <c r="M34" s="31" t="s">
        <v>92</v>
      </c>
      <c r="N34" s="31">
        <v>371065</v>
      </c>
      <c r="O34" s="34">
        <v>10772662</v>
      </c>
      <c r="P34" s="57">
        <v>750</v>
      </c>
      <c r="Q34" s="57" t="s">
        <v>34</v>
      </c>
      <c r="R34" s="58">
        <v>13.69</v>
      </c>
      <c r="S34" s="59">
        <v>10267.5</v>
      </c>
    </row>
    <row r="35" spans="1:19" s="4" customFormat="1" ht="15" hidden="1" customHeight="1" x14ac:dyDescent="0.2">
      <c r="A35" s="29">
        <v>31</v>
      </c>
      <c r="B35" s="56">
        <v>45300</v>
      </c>
      <c r="C35" s="55">
        <v>45292</v>
      </c>
      <c r="D35" s="34" t="s">
        <v>82</v>
      </c>
      <c r="E35" s="34" t="s">
        <v>94</v>
      </c>
      <c r="F35" s="34"/>
      <c r="G35" s="34" t="s">
        <v>95</v>
      </c>
      <c r="H35" s="31">
        <v>2700092</v>
      </c>
      <c r="I35" s="34" t="s">
        <v>84</v>
      </c>
      <c r="J35" s="34" t="s">
        <v>96</v>
      </c>
      <c r="K35" s="31">
        <v>4038</v>
      </c>
      <c r="L35" s="34" t="s">
        <v>97</v>
      </c>
      <c r="M35" s="31" t="s">
        <v>98</v>
      </c>
      <c r="N35" s="31">
        <v>371011</v>
      </c>
      <c r="O35" s="34">
        <v>10772667</v>
      </c>
      <c r="P35" s="57">
        <v>354</v>
      </c>
      <c r="Q35" s="57" t="s">
        <v>34</v>
      </c>
      <c r="R35" s="58">
        <v>5.64</v>
      </c>
      <c r="S35" s="59">
        <v>1996.56</v>
      </c>
    </row>
    <row r="36" spans="1:19" s="4" customFormat="1" ht="15" hidden="1" customHeight="1" x14ac:dyDescent="0.2">
      <c r="A36" s="29">
        <v>32</v>
      </c>
      <c r="B36" s="56">
        <v>45300</v>
      </c>
      <c r="C36" s="55">
        <v>45292</v>
      </c>
      <c r="D36" s="34" t="s">
        <v>82</v>
      </c>
      <c r="E36" s="34" t="s">
        <v>94</v>
      </c>
      <c r="F36" s="34"/>
      <c r="G36" s="34" t="s">
        <v>95</v>
      </c>
      <c r="H36" s="31">
        <v>2700092</v>
      </c>
      <c r="I36" s="34" t="s">
        <v>84</v>
      </c>
      <c r="J36" s="34" t="s">
        <v>96</v>
      </c>
      <c r="K36" s="31">
        <v>4038</v>
      </c>
      <c r="L36" s="34" t="s">
        <v>97</v>
      </c>
      <c r="M36" s="31" t="s">
        <v>98</v>
      </c>
      <c r="N36" s="31">
        <v>371011</v>
      </c>
      <c r="O36" s="34">
        <v>10772667</v>
      </c>
      <c r="P36" s="57">
        <v>354</v>
      </c>
      <c r="Q36" s="57" t="s">
        <v>34</v>
      </c>
      <c r="R36" s="58">
        <v>5.64</v>
      </c>
      <c r="S36" s="59">
        <v>1996.56</v>
      </c>
    </row>
    <row r="37" spans="1:19" s="4" customFormat="1" ht="15" hidden="1" customHeight="1" x14ac:dyDescent="0.2">
      <c r="A37" s="29">
        <v>33</v>
      </c>
      <c r="B37" s="56">
        <v>45300</v>
      </c>
      <c r="C37" s="55">
        <v>45292</v>
      </c>
      <c r="D37" s="34" t="s">
        <v>41</v>
      </c>
      <c r="E37" s="34" t="s">
        <v>94</v>
      </c>
      <c r="F37" s="34"/>
      <c r="G37" s="34" t="s">
        <v>95</v>
      </c>
      <c r="H37" s="31">
        <v>1000238</v>
      </c>
      <c r="I37" s="34" t="s">
        <v>42</v>
      </c>
      <c r="J37" s="34" t="s">
        <v>99</v>
      </c>
      <c r="K37" s="31">
        <v>4038</v>
      </c>
      <c r="L37" s="34" t="s">
        <v>97</v>
      </c>
      <c r="M37" s="31" t="s">
        <v>98</v>
      </c>
      <c r="N37" s="31">
        <v>371011</v>
      </c>
      <c r="O37" s="34">
        <v>10772667</v>
      </c>
      <c r="P37" s="57">
        <v>1</v>
      </c>
      <c r="Q37" s="57" t="s">
        <v>26</v>
      </c>
      <c r="R37" s="58">
        <v>123.39</v>
      </c>
      <c r="S37" s="59">
        <v>123.39</v>
      </c>
    </row>
    <row r="38" spans="1:19" s="4" customFormat="1" ht="15" hidden="1" customHeight="1" x14ac:dyDescent="0.2">
      <c r="A38" s="29">
        <v>34</v>
      </c>
      <c r="B38" s="56">
        <v>45300</v>
      </c>
      <c r="C38" s="55">
        <v>45292</v>
      </c>
      <c r="D38" s="34" t="s">
        <v>41</v>
      </c>
      <c r="E38" s="34" t="s">
        <v>94</v>
      </c>
      <c r="F38" s="34"/>
      <c r="G38" s="34" t="s">
        <v>95</v>
      </c>
      <c r="H38" s="31">
        <v>1000238</v>
      </c>
      <c r="I38" s="34" t="s">
        <v>42</v>
      </c>
      <c r="J38" s="34" t="s">
        <v>99</v>
      </c>
      <c r="K38" s="31">
        <v>4038</v>
      </c>
      <c r="L38" s="34" t="s">
        <v>97</v>
      </c>
      <c r="M38" s="31" t="s">
        <v>98</v>
      </c>
      <c r="N38" s="31">
        <v>371011</v>
      </c>
      <c r="O38" s="34">
        <v>10772667</v>
      </c>
      <c r="P38" s="57">
        <v>1</v>
      </c>
      <c r="Q38" s="57" t="s">
        <v>26</v>
      </c>
      <c r="R38" s="58">
        <v>123.39</v>
      </c>
      <c r="S38" s="59">
        <v>123.39</v>
      </c>
    </row>
    <row r="39" spans="1:19" s="4" customFormat="1" ht="15" hidden="1" customHeight="1" x14ac:dyDescent="0.2">
      <c r="A39" s="29">
        <v>35</v>
      </c>
      <c r="B39" s="56">
        <v>45301</v>
      </c>
      <c r="C39" s="55">
        <v>45292</v>
      </c>
      <c r="D39" s="34" t="s">
        <v>27</v>
      </c>
      <c r="E39" s="34" t="s">
        <v>383</v>
      </c>
      <c r="F39" s="34"/>
      <c r="G39" s="34" t="s">
        <v>29</v>
      </c>
      <c r="H39" s="31">
        <v>1000287</v>
      </c>
      <c r="I39" s="34" t="s">
        <v>30</v>
      </c>
      <c r="J39" s="34" t="s">
        <v>100</v>
      </c>
      <c r="K39" s="31">
        <v>4011</v>
      </c>
      <c r="L39" s="34" t="s">
        <v>101</v>
      </c>
      <c r="M39" s="31" t="s">
        <v>102</v>
      </c>
      <c r="N39" s="31">
        <v>371065</v>
      </c>
      <c r="O39" s="34">
        <v>10772662</v>
      </c>
      <c r="P39" s="57">
        <v>933.7</v>
      </c>
      <c r="Q39" s="57" t="s">
        <v>34</v>
      </c>
      <c r="R39" s="58">
        <v>13.69</v>
      </c>
      <c r="S39" s="59">
        <v>12782.353000000001</v>
      </c>
    </row>
    <row r="40" spans="1:19" s="4" customFormat="1" ht="15" hidden="1" customHeight="1" x14ac:dyDescent="0.2">
      <c r="A40" s="29">
        <v>36</v>
      </c>
      <c r="B40" s="56">
        <v>45301</v>
      </c>
      <c r="C40" s="55">
        <v>45292</v>
      </c>
      <c r="D40" s="34" t="s">
        <v>41</v>
      </c>
      <c r="E40" s="34" t="s">
        <v>383</v>
      </c>
      <c r="F40" s="34"/>
      <c r="G40" s="34" t="s">
        <v>29</v>
      </c>
      <c r="H40" s="31">
        <v>1000238</v>
      </c>
      <c r="I40" s="34" t="s">
        <v>42</v>
      </c>
      <c r="J40" s="34" t="s">
        <v>100</v>
      </c>
      <c r="K40" s="31">
        <v>4011</v>
      </c>
      <c r="L40" s="34" t="s">
        <v>101</v>
      </c>
      <c r="M40" s="31" t="s">
        <v>102</v>
      </c>
      <c r="N40" s="31">
        <v>371065</v>
      </c>
      <c r="O40" s="34">
        <v>10772662</v>
      </c>
      <c r="P40" s="57">
        <v>1</v>
      </c>
      <c r="Q40" s="57" t="s">
        <v>26</v>
      </c>
      <c r="R40" s="58">
        <v>605.85</v>
      </c>
      <c r="S40" s="59">
        <v>605.85</v>
      </c>
    </row>
    <row r="41" spans="1:19" s="4" customFormat="1" ht="15" hidden="1" customHeight="1" x14ac:dyDescent="0.2">
      <c r="A41" s="29">
        <v>37</v>
      </c>
      <c r="B41" s="56">
        <v>45302</v>
      </c>
      <c r="C41" s="55">
        <v>45292</v>
      </c>
      <c r="D41" s="34" t="s">
        <v>27</v>
      </c>
      <c r="E41" s="34" t="s">
        <v>74</v>
      </c>
      <c r="F41" s="34"/>
      <c r="G41" s="34" t="s">
        <v>75</v>
      </c>
      <c r="H41" s="31">
        <v>1000287</v>
      </c>
      <c r="I41" s="34" t="s">
        <v>30</v>
      </c>
      <c r="J41" s="34" t="s">
        <v>103</v>
      </c>
      <c r="K41" s="31">
        <v>4027</v>
      </c>
      <c r="L41" s="34" t="s">
        <v>104</v>
      </c>
      <c r="M41" s="31" t="s">
        <v>105</v>
      </c>
      <c r="N41" s="31">
        <v>371045</v>
      </c>
      <c r="O41" s="34">
        <v>10771210</v>
      </c>
      <c r="P41" s="57">
        <v>531</v>
      </c>
      <c r="Q41" s="57" t="s">
        <v>34</v>
      </c>
      <c r="R41" s="58">
        <v>12.28</v>
      </c>
      <c r="S41" s="59">
        <v>6520.6799999999994</v>
      </c>
    </row>
    <row r="42" spans="1:19" s="4" customFormat="1" ht="15" hidden="1" customHeight="1" x14ac:dyDescent="0.2">
      <c r="A42" s="29">
        <v>38</v>
      </c>
      <c r="B42" s="56">
        <v>45302</v>
      </c>
      <c r="C42" s="55">
        <v>45292</v>
      </c>
      <c r="D42" s="34" t="s">
        <v>41</v>
      </c>
      <c r="E42" s="34" t="s">
        <v>74</v>
      </c>
      <c r="F42" s="34"/>
      <c r="G42" s="34" t="s">
        <v>75</v>
      </c>
      <c r="H42" s="31">
        <v>1000238</v>
      </c>
      <c r="I42" s="34" t="s">
        <v>42</v>
      </c>
      <c r="J42" s="34" t="s">
        <v>103</v>
      </c>
      <c r="K42" s="31">
        <v>4027</v>
      </c>
      <c r="L42" s="34" t="s">
        <v>104</v>
      </c>
      <c r="M42" s="31" t="s">
        <v>105</v>
      </c>
      <c r="N42" s="31">
        <v>371045</v>
      </c>
      <c r="O42" s="34">
        <v>10771210</v>
      </c>
      <c r="P42" s="57">
        <v>1</v>
      </c>
      <c r="Q42" s="57" t="s">
        <v>26</v>
      </c>
      <c r="R42" s="58">
        <v>543.11</v>
      </c>
      <c r="S42" s="59">
        <v>543.11</v>
      </c>
    </row>
    <row r="43" spans="1:19" s="4" customFormat="1" ht="15" hidden="1" customHeight="1" x14ac:dyDescent="0.2">
      <c r="A43" s="29">
        <v>39</v>
      </c>
      <c r="B43" s="56">
        <v>45306</v>
      </c>
      <c r="C43" s="55">
        <v>45292</v>
      </c>
      <c r="D43" s="34" t="s">
        <v>27</v>
      </c>
      <c r="E43" s="34" t="s">
        <v>383</v>
      </c>
      <c r="F43" s="34"/>
      <c r="G43" s="34" t="s">
        <v>29</v>
      </c>
      <c r="H43" s="31">
        <v>1000287</v>
      </c>
      <c r="I43" s="34" t="s">
        <v>30</v>
      </c>
      <c r="J43" s="34" t="s">
        <v>112</v>
      </c>
      <c r="K43" s="31">
        <v>4048</v>
      </c>
      <c r="L43" s="34" t="s">
        <v>77</v>
      </c>
      <c r="M43" s="31" t="s">
        <v>81</v>
      </c>
      <c r="N43" s="31">
        <v>371065</v>
      </c>
      <c r="O43" s="34">
        <v>10772662</v>
      </c>
      <c r="P43" s="57">
        <v>638.20000000000005</v>
      </c>
      <c r="Q43" s="57" t="s">
        <v>34</v>
      </c>
      <c r="R43" s="58">
        <v>13.69</v>
      </c>
      <c r="S43" s="59">
        <v>8736.9580000000005</v>
      </c>
    </row>
    <row r="44" spans="1:19" s="4" customFormat="1" ht="15" hidden="1" customHeight="1" x14ac:dyDescent="0.2">
      <c r="A44" s="29">
        <v>40</v>
      </c>
      <c r="B44" s="56">
        <v>45306</v>
      </c>
      <c r="C44" s="55">
        <v>45292</v>
      </c>
      <c r="D44" s="34" t="s">
        <v>41</v>
      </c>
      <c r="E44" s="34" t="s">
        <v>383</v>
      </c>
      <c r="F44" s="34"/>
      <c r="G44" s="34" t="s">
        <v>29</v>
      </c>
      <c r="H44" s="31">
        <v>1000238</v>
      </c>
      <c r="I44" s="34" t="s">
        <v>42</v>
      </c>
      <c r="J44" s="34" t="s">
        <v>112</v>
      </c>
      <c r="K44" s="31">
        <v>4048</v>
      </c>
      <c r="L44" s="34" t="s">
        <v>77</v>
      </c>
      <c r="M44" s="31" t="s">
        <v>81</v>
      </c>
      <c r="N44" s="31">
        <v>371065</v>
      </c>
      <c r="O44" s="34">
        <v>10772662</v>
      </c>
      <c r="P44" s="57">
        <v>1</v>
      </c>
      <c r="Q44" s="57" t="s">
        <v>26</v>
      </c>
      <c r="R44" s="58">
        <v>643.12</v>
      </c>
      <c r="S44" s="59">
        <v>643.12</v>
      </c>
    </row>
    <row r="45" spans="1:19" s="4" customFormat="1" ht="15" hidden="1" customHeight="1" x14ac:dyDescent="0.2">
      <c r="A45" s="29">
        <v>41</v>
      </c>
      <c r="B45" s="56">
        <v>45307</v>
      </c>
      <c r="C45" s="55">
        <v>45292</v>
      </c>
      <c r="D45" s="34" t="s">
        <v>27</v>
      </c>
      <c r="E45" s="34" t="s">
        <v>383</v>
      </c>
      <c r="F45" s="34"/>
      <c r="G45" s="34" t="s">
        <v>29</v>
      </c>
      <c r="H45" s="31">
        <v>1000287</v>
      </c>
      <c r="I45" s="34" t="s">
        <v>30</v>
      </c>
      <c r="J45" s="34" t="s">
        <v>113</v>
      </c>
      <c r="K45" s="31">
        <v>4020</v>
      </c>
      <c r="L45" s="34" t="s">
        <v>114</v>
      </c>
      <c r="M45" s="31" t="s">
        <v>115</v>
      </c>
      <c r="N45" s="31">
        <v>371065</v>
      </c>
      <c r="O45" s="34">
        <v>10772662</v>
      </c>
      <c r="P45" s="57">
        <v>501.1</v>
      </c>
      <c r="Q45" s="57" t="s">
        <v>34</v>
      </c>
      <c r="R45" s="58">
        <v>13.69</v>
      </c>
      <c r="S45" s="59">
        <v>6860.0590000000002</v>
      </c>
    </row>
    <row r="46" spans="1:19" s="4" customFormat="1" ht="15" hidden="1" customHeight="1" x14ac:dyDescent="0.2">
      <c r="A46" s="29">
        <v>42</v>
      </c>
      <c r="B46" s="56">
        <v>45307</v>
      </c>
      <c r="C46" s="55">
        <v>45292</v>
      </c>
      <c r="D46" s="34" t="s">
        <v>41</v>
      </c>
      <c r="E46" s="34" t="s">
        <v>383</v>
      </c>
      <c r="F46" s="34"/>
      <c r="G46" s="34" t="s">
        <v>29</v>
      </c>
      <c r="H46" s="31">
        <v>1000238</v>
      </c>
      <c r="I46" s="34" t="s">
        <v>42</v>
      </c>
      <c r="J46" s="34" t="s">
        <v>113</v>
      </c>
      <c r="K46" s="31">
        <v>4020</v>
      </c>
      <c r="L46" s="34" t="s">
        <v>114</v>
      </c>
      <c r="M46" s="31" t="s">
        <v>115</v>
      </c>
      <c r="N46" s="31">
        <v>371065</v>
      </c>
      <c r="O46" s="34">
        <v>10772662</v>
      </c>
      <c r="P46" s="57">
        <v>1</v>
      </c>
      <c r="Q46" s="57" t="s">
        <v>26</v>
      </c>
      <c r="R46" s="58">
        <v>209.94</v>
      </c>
      <c r="S46" s="59">
        <v>209.94</v>
      </c>
    </row>
    <row r="47" spans="1:19" s="4" customFormat="1" ht="15" hidden="1" customHeight="1" x14ac:dyDescent="0.2">
      <c r="A47" s="29">
        <v>43</v>
      </c>
      <c r="B47" s="56">
        <v>45309</v>
      </c>
      <c r="C47" s="55">
        <v>45292</v>
      </c>
      <c r="D47" s="34" t="s">
        <v>27</v>
      </c>
      <c r="E47" s="34" t="s">
        <v>52</v>
      </c>
      <c r="F47" s="34"/>
      <c r="G47" s="34" t="s">
        <v>29</v>
      </c>
      <c r="H47" s="31">
        <v>1000287</v>
      </c>
      <c r="I47" s="34" t="s">
        <v>30</v>
      </c>
      <c r="J47" s="34" t="s">
        <v>116</v>
      </c>
      <c r="K47" s="31">
        <v>4016</v>
      </c>
      <c r="L47" s="34" t="s">
        <v>63</v>
      </c>
      <c r="M47" s="31" t="s">
        <v>117</v>
      </c>
      <c r="N47" s="31">
        <v>371055</v>
      </c>
      <c r="O47" s="34">
        <v>10772662</v>
      </c>
      <c r="P47" s="57">
        <v>811.7</v>
      </c>
      <c r="Q47" s="57" t="s">
        <v>34</v>
      </c>
      <c r="R47" s="58">
        <v>13.69</v>
      </c>
      <c r="S47" s="59">
        <v>11112.173000000001</v>
      </c>
    </row>
    <row r="48" spans="1:19" s="4" customFormat="1" ht="15" hidden="1" customHeight="1" x14ac:dyDescent="0.2">
      <c r="A48" s="29">
        <v>44</v>
      </c>
      <c r="B48" s="56">
        <v>45309</v>
      </c>
      <c r="C48" s="55">
        <v>45292</v>
      </c>
      <c r="D48" s="34" t="s">
        <v>41</v>
      </c>
      <c r="E48" s="34" t="s">
        <v>52</v>
      </c>
      <c r="F48" s="34"/>
      <c r="G48" s="34" t="s">
        <v>29</v>
      </c>
      <c r="H48" s="31">
        <v>1000238</v>
      </c>
      <c r="I48" s="34" t="s">
        <v>42</v>
      </c>
      <c r="J48" s="34" t="s">
        <v>116</v>
      </c>
      <c r="K48" s="31">
        <v>4016</v>
      </c>
      <c r="L48" s="34" t="s">
        <v>63</v>
      </c>
      <c r="M48" s="31" t="s">
        <v>117</v>
      </c>
      <c r="N48" s="31">
        <v>371055</v>
      </c>
      <c r="O48" s="34">
        <v>10772662</v>
      </c>
      <c r="P48" s="57">
        <v>1</v>
      </c>
      <c r="Q48" s="57" t="s">
        <v>26</v>
      </c>
      <c r="R48" s="58">
        <v>656.2</v>
      </c>
      <c r="S48" s="59">
        <v>656.2</v>
      </c>
    </row>
    <row r="49" spans="1:19" s="4" customFormat="1" ht="15" hidden="1" customHeight="1" x14ac:dyDescent="0.2">
      <c r="A49" s="29">
        <v>45</v>
      </c>
      <c r="B49" s="56">
        <v>45310</v>
      </c>
      <c r="C49" s="55">
        <v>45292</v>
      </c>
      <c r="D49" s="34" t="s">
        <v>27</v>
      </c>
      <c r="E49" s="34" t="s">
        <v>74</v>
      </c>
      <c r="F49" s="34"/>
      <c r="G49" s="34" t="s">
        <v>29</v>
      </c>
      <c r="H49" s="31">
        <v>1000287</v>
      </c>
      <c r="I49" s="34" t="s">
        <v>30</v>
      </c>
      <c r="J49" s="34" t="s">
        <v>118</v>
      </c>
      <c r="K49" s="31">
        <v>4070</v>
      </c>
      <c r="L49" s="34" t="s">
        <v>119</v>
      </c>
      <c r="M49" s="31" t="s">
        <v>120</v>
      </c>
      <c r="N49" s="31">
        <v>371045</v>
      </c>
      <c r="O49" s="34">
        <v>10772662</v>
      </c>
      <c r="P49" s="57">
        <v>381.2</v>
      </c>
      <c r="Q49" s="57" t="s">
        <v>34</v>
      </c>
      <c r="R49" s="58">
        <v>13.69</v>
      </c>
      <c r="S49" s="59">
        <v>5218.6279999999997</v>
      </c>
    </row>
    <row r="50" spans="1:19" s="4" customFormat="1" ht="15" hidden="1" customHeight="1" x14ac:dyDescent="0.2">
      <c r="A50" s="29">
        <v>46</v>
      </c>
      <c r="B50" s="56">
        <v>45310</v>
      </c>
      <c r="C50" s="55">
        <v>45292</v>
      </c>
      <c r="D50" s="34" t="s">
        <v>41</v>
      </c>
      <c r="E50" s="34" t="s">
        <v>74</v>
      </c>
      <c r="F50" s="34"/>
      <c r="G50" s="34" t="s">
        <v>29</v>
      </c>
      <c r="H50" s="31">
        <v>1000238</v>
      </c>
      <c r="I50" s="34" t="s">
        <v>42</v>
      </c>
      <c r="J50" s="34" t="s">
        <v>118</v>
      </c>
      <c r="K50" s="31">
        <v>4070</v>
      </c>
      <c r="L50" s="34" t="s">
        <v>119</v>
      </c>
      <c r="M50" s="31" t="s">
        <v>120</v>
      </c>
      <c r="N50" s="31">
        <v>371045</v>
      </c>
      <c r="O50" s="34">
        <v>10772662</v>
      </c>
      <c r="P50" s="57">
        <v>1</v>
      </c>
      <c r="Q50" s="57" t="s">
        <v>26</v>
      </c>
      <c r="R50" s="58">
        <v>260.02</v>
      </c>
      <c r="S50" s="59">
        <v>260.02</v>
      </c>
    </row>
    <row r="51" spans="1:19" s="4" customFormat="1" ht="15" hidden="1" customHeight="1" x14ac:dyDescent="0.2">
      <c r="A51" s="29">
        <v>47</v>
      </c>
      <c r="B51" s="56">
        <v>45310</v>
      </c>
      <c r="C51" s="55">
        <v>45292</v>
      </c>
      <c r="D51" s="34" t="s">
        <v>35</v>
      </c>
      <c r="E51" s="34" t="s">
        <v>74</v>
      </c>
      <c r="F51" s="34"/>
      <c r="G51" s="34" t="s">
        <v>29</v>
      </c>
      <c r="H51" s="31">
        <v>1000287</v>
      </c>
      <c r="I51" s="34" t="s">
        <v>30</v>
      </c>
      <c r="J51" s="34" t="s">
        <v>121</v>
      </c>
      <c r="K51" s="31">
        <v>4070</v>
      </c>
      <c r="L51" s="34" t="s">
        <v>119</v>
      </c>
      <c r="M51" s="31" t="s">
        <v>120</v>
      </c>
      <c r="N51" s="31">
        <v>371045</v>
      </c>
      <c r="O51" s="34">
        <v>10772662</v>
      </c>
      <c r="P51" s="57">
        <v>250</v>
      </c>
      <c r="Q51" s="57" t="s">
        <v>34</v>
      </c>
      <c r="R51" s="58">
        <v>13.69</v>
      </c>
      <c r="S51" s="59">
        <v>3422.5</v>
      </c>
    </row>
    <row r="52" spans="1:19" s="4" customFormat="1" ht="15" hidden="1" customHeight="1" x14ac:dyDescent="0.2">
      <c r="A52" s="29">
        <v>48</v>
      </c>
      <c r="B52" s="56">
        <v>45303</v>
      </c>
      <c r="C52" s="55">
        <v>45292</v>
      </c>
      <c r="D52" s="34" t="s">
        <v>27</v>
      </c>
      <c r="E52" s="34" t="s">
        <v>28</v>
      </c>
      <c r="F52" s="34"/>
      <c r="G52" s="34" t="s">
        <v>29</v>
      </c>
      <c r="H52" s="31">
        <v>1000287</v>
      </c>
      <c r="I52" s="34" t="s">
        <v>30</v>
      </c>
      <c r="J52" s="34" t="s">
        <v>106</v>
      </c>
      <c r="K52" s="31" t="s">
        <v>24</v>
      </c>
      <c r="L52" s="34" t="e">
        <v>#N/A</v>
      </c>
      <c r="M52" s="31" t="s">
        <v>24</v>
      </c>
      <c r="N52" s="31">
        <v>371011</v>
      </c>
      <c r="O52" s="34">
        <v>10777223</v>
      </c>
      <c r="P52" s="57">
        <v>131.80000000000001</v>
      </c>
      <c r="Q52" s="57" t="s">
        <v>34</v>
      </c>
      <c r="R52" s="58">
        <v>13.69</v>
      </c>
      <c r="S52" s="59">
        <v>1804.3420000000001</v>
      </c>
    </row>
    <row r="53" spans="1:19" s="4" customFormat="1" ht="15" hidden="1" customHeight="1" x14ac:dyDescent="0.2">
      <c r="A53" s="29">
        <v>49</v>
      </c>
      <c r="B53" s="56">
        <v>45303</v>
      </c>
      <c r="C53" s="55">
        <v>45292</v>
      </c>
      <c r="D53" s="34" t="s">
        <v>41</v>
      </c>
      <c r="E53" s="34" t="s">
        <v>28</v>
      </c>
      <c r="F53" s="34"/>
      <c r="G53" s="34" t="s">
        <v>29</v>
      </c>
      <c r="H53" s="31">
        <v>1000238</v>
      </c>
      <c r="I53" s="34" t="s">
        <v>42</v>
      </c>
      <c r="J53" s="34" t="s">
        <v>107</v>
      </c>
      <c r="K53" s="31" t="s">
        <v>24</v>
      </c>
      <c r="L53" s="34" t="e">
        <v>#N/A</v>
      </c>
      <c r="M53" s="31" t="s">
        <v>24</v>
      </c>
      <c r="N53" s="31">
        <v>371011</v>
      </c>
      <c r="O53" s="34">
        <v>10777223</v>
      </c>
      <c r="P53" s="57">
        <v>1</v>
      </c>
      <c r="Q53" s="57" t="s">
        <v>26</v>
      </c>
      <c r="R53" s="58">
        <v>223.2</v>
      </c>
      <c r="S53" s="59">
        <v>223.2</v>
      </c>
    </row>
    <row r="54" spans="1:19" s="4" customFormat="1" ht="15" hidden="1" customHeight="1" x14ac:dyDescent="0.2">
      <c r="A54" s="29">
        <v>50</v>
      </c>
      <c r="B54" s="56">
        <v>45303</v>
      </c>
      <c r="C54" s="55">
        <v>45292</v>
      </c>
      <c r="D54" s="34" t="s">
        <v>108</v>
      </c>
      <c r="E54" s="34" t="s">
        <v>28</v>
      </c>
      <c r="F54" s="34"/>
      <c r="G54" s="34" t="s">
        <v>29</v>
      </c>
      <c r="H54" s="31" t="s">
        <v>21</v>
      </c>
      <c r="I54" s="34" t="s">
        <v>109</v>
      </c>
      <c r="J54" s="34" t="s">
        <v>110</v>
      </c>
      <c r="K54" s="31" t="s">
        <v>24</v>
      </c>
      <c r="L54" s="34" t="e">
        <v>#N/A</v>
      </c>
      <c r="M54" s="31" t="s">
        <v>24</v>
      </c>
      <c r="N54" s="31">
        <v>371011</v>
      </c>
      <c r="O54" s="34">
        <v>10777223</v>
      </c>
      <c r="P54" s="57">
        <v>4.3333349999999999</v>
      </c>
      <c r="Q54" s="57" t="s">
        <v>111</v>
      </c>
      <c r="R54" s="58">
        <v>550</v>
      </c>
      <c r="S54" s="59">
        <v>2383.3342499999999</v>
      </c>
    </row>
    <row r="55" spans="1:19" s="4" customFormat="1" ht="15" hidden="1" customHeight="1" x14ac:dyDescent="0.2">
      <c r="A55" s="29">
        <v>51</v>
      </c>
      <c r="B55" s="56">
        <v>45219</v>
      </c>
      <c r="C55" s="55">
        <v>45200</v>
      </c>
      <c r="D55" s="34" t="s">
        <v>18</v>
      </c>
      <c r="E55" s="34" t="s">
        <v>19</v>
      </c>
      <c r="F55" s="34"/>
      <c r="G55" s="34" t="s">
        <v>20</v>
      </c>
      <c r="H55" s="31" t="s">
        <v>21</v>
      </c>
      <c r="I55" s="34" t="s">
        <v>22</v>
      </c>
      <c r="J55" s="34" t="s">
        <v>23</v>
      </c>
      <c r="K55" s="31" t="s">
        <v>24</v>
      </c>
      <c r="L55" s="34" t="e">
        <v>#N/A</v>
      </c>
      <c r="M55" s="31" t="s">
        <v>24</v>
      </c>
      <c r="N55" s="31">
        <v>371075</v>
      </c>
      <c r="O55" s="34" t="s">
        <v>25</v>
      </c>
      <c r="P55" s="57">
        <v>1</v>
      </c>
      <c r="Q55" s="57" t="s">
        <v>26</v>
      </c>
      <c r="R55" s="58">
        <v>334914.23</v>
      </c>
      <c r="S55" s="59">
        <v>334914.23</v>
      </c>
    </row>
    <row r="56" spans="1:19" s="4" customFormat="1" ht="15" hidden="1" customHeight="1" x14ac:dyDescent="0.2">
      <c r="A56" s="29">
        <v>52</v>
      </c>
      <c r="B56" s="56">
        <v>45250</v>
      </c>
      <c r="C56" s="55">
        <v>45231</v>
      </c>
      <c r="D56" s="34" t="s">
        <v>18</v>
      </c>
      <c r="E56" s="34" t="s">
        <v>19</v>
      </c>
      <c r="F56" s="34"/>
      <c r="G56" s="34" t="s">
        <v>20</v>
      </c>
      <c r="H56" s="31" t="s">
        <v>21</v>
      </c>
      <c r="I56" s="34" t="s">
        <v>22</v>
      </c>
      <c r="J56" s="34" t="s">
        <v>23</v>
      </c>
      <c r="K56" s="31" t="s">
        <v>24</v>
      </c>
      <c r="L56" s="34" t="e">
        <v>#N/A</v>
      </c>
      <c r="M56" s="31" t="s">
        <v>24</v>
      </c>
      <c r="N56" s="31">
        <v>371075</v>
      </c>
      <c r="O56" s="34" t="s">
        <v>25</v>
      </c>
      <c r="P56" s="57">
        <v>1</v>
      </c>
      <c r="Q56" s="57" t="s">
        <v>26</v>
      </c>
      <c r="R56" s="58">
        <v>200318.82</v>
      </c>
      <c r="S56" s="59">
        <v>200318.82</v>
      </c>
    </row>
    <row r="57" spans="1:19" s="4" customFormat="1" ht="15" hidden="1" customHeight="1" x14ac:dyDescent="0.2">
      <c r="A57" s="29">
        <v>52</v>
      </c>
      <c r="B57" s="56">
        <v>45314</v>
      </c>
      <c r="C57" s="55">
        <v>45323</v>
      </c>
      <c r="D57" s="34" t="s">
        <v>27</v>
      </c>
      <c r="E57" s="34" t="s">
        <v>383</v>
      </c>
      <c r="F57" s="34"/>
      <c r="G57" s="34" t="s">
        <v>29</v>
      </c>
      <c r="H57" s="31">
        <v>1000287</v>
      </c>
      <c r="I57" s="34" t="s">
        <v>30</v>
      </c>
      <c r="J57" s="34" t="s">
        <v>122</v>
      </c>
      <c r="K57" s="31">
        <v>4067</v>
      </c>
      <c r="L57" s="34" t="s">
        <v>67</v>
      </c>
      <c r="M57" s="31" t="s">
        <v>123</v>
      </c>
      <c r="N57" s="31">
        <v>371065</v>
      </c>
      <c r="O57" s="34">
        <v>10776543</v>
      </c>
      <c r="P57" s="57">
        <v>732.6</v>
      </c>
      <c r="Q57" s="57" t="s">
        <v>34</v>
      </c>
      <c r="R57" s="58">
        <v>13.69</v>
      </c>
      <c r="S57" s="59">
        <v>10029.294</v>
      </c>
    </row>
    <row r="58" spans="1:19" s="4" customFormat="1" ht="15" hidden="1" customHeight="1" x14ac:dyDescent="0.2">
      <c r="A58" s="29">
        <v>53</v>
      </c>
      <c r="B58" s="56">
        <v>45280</v>
      </c>
      <c r="C58" s="55">
        <v>45261</v>
      </c>
      <c r="D58" s="34" t="s">
        <v>18</v>
      </c>
      <c r="E58" s="34" t="s">
        <v>19</v>
      </c>
      <c r="F58" s="34"/>
      <c r="G58" s="34" t="s">
        <v>20</v>
      </c>
      <c r="H58" s="31" t="s">
        <v>21</v>
      </c>
      <c r="I58" s="34" t="s">
        <v>22</v>
      </c>
      <c r="J58" s="34" t="s">
        <v>23</v>
      </c>
      <c r="K58" s="31" t="s">
        <v>24</v>
      </c>
      <c r="L58" s="34" t="e">
        <v>#N/A</v>
      </c>
      <c r="M58" s="31" t="s">
        <v>24</v>
      </c>
      <c r="N58" s="31">
        <v>371075</v>
      </c>
      <c r="O58" s="34" t="s">
        <v>25</v>
      </c>
      <c r="P58" s="57">
        <v>1</v>
      </c>
      <c r="Q58" s="57" t="s">
        <v>26</v>
      </c>
      <c r="R58" s="58">
        <v>406352.71600000001</v>
      </c>
      <c r="S58" s="59">
        <v>406352.71600000001</v>
      </c>
    </row>
    <row r="59" spans="1:19" s="4" customFormat="1" ht="15" hidden="1" customHeight="1" x14ac:dyDescent="0.2">
      <c r="A59" s="29">
        <v>53</v>
      </c>
      <c r="B59" s="56">
        <v>45314</v>
      </c>
      <c r="C59" s="55">
        <v>45323</v>
      </c>
      <c r="D59" s="34" t="s">
        <v>41</v>
      </c>
      <c r="E59" s="34" t="s">
        <v>383</v>
      </c>
      <c r="F59" s="34"/>
      <c r="G59" s="34" t="s">
        <v>29</v>
      </c>
      <c r="H59" s="31">
        <v>1000238</v>
      </c>
      <c r="I59" s="34" t="s">
        <v>42</v>
      </c>
      <c r="J59" s="34" t="s">
        <v>124</v>
      </c>
      <c r="K59" s="31">
        <v>4067</v>
      </c>
      <c r="L59" s="34" t="s">
        <v>67</v>
      </c>
      <c r="M59" s="31" t="s">
        <v>123</v>
      </c>
      <c r="N59" s="31">
        <v>371065</v>
      </c>
      <c r="O59" s="34">
        <v>10776543</v>
      </c>
      <c r="P59" s="57">
        <v>1</v>
      </c>
      <c r="Q59" s="57" t="s">
        <v>26</v>
      </c>
      <c r="R59" s="58">
        <v>462.73</v>
      </c>
      <c r="S59" s="59">
        <v>462.73</v>
      </c>
    </row>
    <row r="60" spans="1:19" s="4" customFormat="1" ht="15" hidden="1" customHeight="1" x14ac:dyDescent="0.2">
      <c r="A60" s="29">
        <v>54</v>
      </c>
      <c r="B60" s="56">
        <v>45311</v>
      </c>
      <c r="C60" s="55">
        <v>45292</v>
      </c>
      <c r="D60" s="34" t="s">
        <v>18</v>
      </c>
      <c r="E60" s="34" t="s">
        <v>19</v>
      </c>
      <c r="F60" s="34"/>
      <c r="G60" s="34" t="s">
        <v>20</v>
      </c>
      <c r="H60" s="31" t="s">
        <v>21</v>
      </c>
      <c r="I60" s="34" t="s">
        <v>22</v>
      </c>
      <c r="J60" s="34" t="s">
        <v>23</v>
      </c>
      <c r="K60" s="31" t="s">
        <v>24</v>
      </c>
      <c r="L60" s="34" t="e">
        <v>#N/A</v>
      </c>
      <c r="M60" s="31" t="s">
        <v>24</v>
      </c>
      <c r="N60" s="31">
        <v>371075</v>
      </c>
      <c r="O60" s="34" t="s">
        <v>25</v>
      </c>
      <c r="P60" s="57">
        <v>1</v>
      </c>
      <c r="Q60" s="57" t="s">
        <v>26</v>
      </c>
      <c r="R60" s="58">
        <v>320626.527</v>
      </c>
      <c r="S60" s="59">
        <v>320626.527</v>
      </c>
    </row>
    <row r="61" spans="1:19" s="4" customFormat="1" ht="15" hidden="1" customHeight="1" x14ac:dyDescent="0.2">
      <c r="A61" s="29">
        <v>54</v>
      </c>
      <c r="B61" s="56">
        <v>45318</v>
      </c>
      <c r="C61" s="55">
        <v>45323</v>
      </c>
      <c r="D61" s="34" t="s">
        <v>27</v>
      </c>
      <c r="E61" s="34" t="s">
        <v>52</v>
      </c>
      <c r="F61" s="34"/>
      <c r="G61" s="34" t="s">
        <v>29</v>
      </c>
      <c r="H61" s="31">
        <v>1000287</v>
      </c>
      <c r="I61" s="34" t="s">
        <v>30</v>
      </c>
      <c r="J61" s="34" t="s">
        <v>125</v>
      </c>
      <c r="K61" s="31">
        <v>4010</v>
      </c>
      <c r="L61" s="34" t="s">
        <v>54</v>
      </c>
      <c r="M61" s="31" t="s">
        <v>55</v>
      </c>
      <c r="N61" s="31">
        <v>371055</v>
      </c>
      <c r="O61" s="34">
        <v>10776543</v>
      </c>
      <c r="P61" s="57">
        <v>226.5</v>
      </c>
      <c r="Q61" s="57" t="s">
        <v>34</v>
      </c>
      <c r="R61" s="58">
        <v>13.69</v>
      </c>
      <c r="S61" s="59">
        <v>3100.7849999999999</v>
      </c>
    </row>
    <row r="62" spans="1:19" s="4" customFormat="1" ht="15" hidden="1" customHeight="1" x14ac:dyDescent="0.2">
      <c r="A62" s="29">
        <v>55</v>
      </c>
      <c r="B62" s="56">
        <v>45318</v>
      </c>
      <c r="C62" s="55">
        <v>45323</v>
      </c>
      <c r="D62" s="34" t="s">
        <v>41</v>
      </c>
      <c r="E62" s="34" t="s">
        <v>52</v>
      </c>
      <c r="F62" s="34"/>
      <c r="G62" s="34" t="s">
        <v>29</v>
      </c>
      <c r="H62" s="31">
        <v>1000238</v>
      </c>
      <c r="I62" s="34" t="s">
        <v>42</v>
      </c>
      <c r="J62" s="34" t="s">
        <v>126</v>
      </c>
      <c r="K62" s="31">
        <v>4010</v>
      </c>
      <c r="L62" s="34" t="s">
        <v>54</v>
      </c>
      <c r="M62" s="31" t="s">
        <v>55</v>
      </c>
      <c r="N62" s="31">
        <v>371055</v>
      </c>
      <c r="O62" s="34">
        <v>10776543</v>
      </c>
      <c r="P62" s="57">
        <v>1</v>
      </c>
      <c r="Q62" s="57" t="s">
        <v>26</v>
      </c>
      <c r="R62" s="58">
        <v>162.4</v>
      </c>
      <c r="S62" s="59">
        <v>162.4</v>
      </c>
    </row>
    <row r="63" spans="1:19" s="4" customFormat="1" ht="15" hidden="1" customHeight="1" x14ac:dyDescent="0.2">
      <c r="A63" s="29">
        <v>56</v>
      </c>
      <c r="B63" s="56">
        <v>45318</v>
      </c>
      <c r="C63" s="55">
        <v>45323</v>
      </c>
      <c r="D63" s="34" t="s">
        <v>27</v>
      </c>
      <c r="E63" s="34" t="s">
        <v>383</v>
      </c>
      <c r="F63" s="34"/>
      <c r="G63" s="34" t="s">
        <v>29</v>
      </c>
      <c r="H63" s="31">
        <v>1000287</v>
      </c>
      <c r="I63" s="34" t="s">
        <v>30</v>
      </c>
      <c r="J63" s="34" t="s">
        <v>127</v>
      </c>
      <c r="K63" s="31">
        <v>4016</v>
      </c>
      <c r="L63" s="34" t="s">
        <v>63</v>
      </c>
      <c r="M63" s="31" t="s">
        <v>128</v>
      </c>
      <c r="N63" s="31">
        <v>371065</v>
      </c>
      <c r="O63" s="34">
        <v>10776543</v>
      </c>
      <c r="P63" s="57">
        <v>323</v>
      </c>
      <c r="Q63" s="57" t="s">
        <v>34</v>
      </c>
      <c r="R63" s="58">
        <v>13.69</v>
      </c>
      <c r="S63" s="59">
        <v>4421.87</v>
      </c>
    </row>
    <row r="64" spans="1:19" s="4" customFormat="1" ht="15" hidden="1" customHeight="1" x14ac:dyDescent="0.2">
      <c r="A64" s="29">
        <v>57</v>
      </c>
      <c r="B64" s="56">
        <v>45318</v>
      </c>
      <c r="C64" s="55">
        <v>45323</v>
      </c>
      <c r="D64" s="34" t="s">
        <v>41</v>
      </c>
      <c r="E64" s="34" t="s">
        <v>383</v>
      </c>
      <c r="F64" s="34"/>
      <c r="G64" s="34" t="s">
        <v>29</v>
      </c>
      <c r="H64" s="31">
        <v>1000238</v>
      </c>
      <c r="I64" s="34" t="s">
        <v>42</v>
      </c>
      <c r="J64" s="34" t="s">
        <v>129</v>
      </c>
      <c r="K64" s="31">
        <v>4016</v>
      </c>
      <c r="L64" s="34" t="s">
        <v>63</v>
      </c>
      <c r="M64" s="31" t="s">
        <v>128</v>
      </c>
      <c r="N64" s="31">
        <v>371065</v>
      </c>
      <c r="O64" s="34">
        <v>10776543</v>
      </c>
      <c r="P64" s="57">
        <v>1</v>
      </c>
      <c r="Q64" s="57" t="s">
        <v>26</v>
      </c>
      <c r="R64" s="58">
        <v>454.63</v>
      </c>
      <c r="S64" s="59">
        <v>454.63</v>
      </c>
    </row>
    <row r="65" spans="1:19" s="4" customFormat="1" ht="15" hidden="1" customHeight="1" x14ac:dyDescent="0.2">
      <c r="A65" s="29">
        <v>58</v>
      </c>
      <c r="B65" s="56">
        <v>45320</v>
      </c>
      <c r="C65" s="55">
        <v>45323</v>
      </c>
      <c r="D65" s="34" t="s">
        <v>27</v>
      </c>
      <c r="E65" s="34" t="s">
        <v>52</v>
      </c>
      <c r="F65" s="34"/>
      <c r="G65" s="34" t="s">
        <v>29</v>
      </c>
      <c r="H65" s="31">
        <v>1000287</v>
      </c>
      <c r="I65" s="34" t="s">
        <v>30</v>
      </c>
      <c r="J65" s="34" t="s">
        <v>130</v>
      </c>
      <c r="K65" s="31" t="s">
        <v>24</v>
      </c>
      <c r="L65" s="34" t="e">
        <v>#N/A</v>
      </c>
      <c r="M65" s="31" t="s">
        <v>24</v>
      </c>
      <c r="N65" s="31">
        <v>371055</v>
      </c>
      <c r="O65" s="34">
        <v>10776543</v>
      </c>
      <c r="P65" s="57">
        <v>230.5</v>
      </c>
      <c r="Q65" s="57" t="s">
        <v>34</v>
      </c>
      <c r="R65" s="58">
        <v>13.69</v>
      </c>
      <c r="S65" s="59">
        <v>3155.5450000000001</v>
      </c>
    </row>
    <row r="66" spans="1:19" s="4" customFormat="1" ht="15" hidden="1" customHeight="1" x14ac:dyDescent="0.2">
      <c r="A66" s="29">
        <v>59</v>
      </c>
      <c r="B66" s="56">
        <v>45320</v>
      </c>
      <c r="C66" s="55">
        <v>45323</v>
      </c>
      <c r="D66" s="34" t="s">
        <v>41</v>
      </c>
      <c r="E66" s="34" t="s">
        <v>52</v>
      </c>
      <c r="F66" s="34"/>
      <c r="G66" s="34" t="s">
        <v>29</v>
      </c>
      <c r="H66" s="31">
        <v>1000238</v>
      </c>
      <c r="I66" s="34" t="s">
        <v>42</v>
      </c>
      <c r="J66" s="34" t="s">
        <v>131</v>
      </c>
      <c r="K66" s="31" t="s">
        <v>24</v>
      </c>
      <c r="L66" s="34" t="e">
        <v>#N/A</v>
      </c>
      <c r="M66" s="31" t="s">
        <v>24</v>
      </c>
      <c r="N66" s="31">
        <v>371055</v>
      </c>
      <c r="O66" s="34">
        <v>10776543</v>
      </c>
      <c r="P66" s="57">
        <v>1</v>
      </c>
      <c r="Q66" s="57" t="s">
        <v>26</v>
      </c>
      <c r="R66" s="58">
        <v>236.71</v>
      </c>
      <c r="S66" s="59">
        <v>236.71</v>
      </c>
    </row>
    <row r="67" spans="1:19" s="4" customFormat="1" ht="15" hidden="1" customHeight="1" x14ac:dyDescent="0.2">
      <c r="A67" s="29">
        <v>60</v>
      </c>
      <c r="B67" s="56">
        <v>45320</v>
      </c>
      <c r="C67" s="55">
        <v>45323</v>
      </c>
      <c r="D67" s="34" t="s">
        <v>35</v>
      </c>
      <c r="E67" s="34" t="s">
        <v>52</v>
      </c>
      <c r="F67" s="34"/>
      <c r="G67" s="34" t="s">
        <v>29</v>
      </c>
      <c r="H67" s="31">
        <v>1000287</v>
      </c>
      <c r="I67" s="34" t="s">
        <v>30</v>
      </c>
      <c r="J67" s="34" t="s">
        <v>132</v>
      </c>
      <c r="K67" s="31" t="s">
        <v>24</v>
      </c>
      <c r="L67" s="34" t="e">
        <v>#N/A</v>
      </c>
      <c r="M67" s="31" t="s">
        <v>24</v>
      </c>
      <c r="N67" s="31">
        <v>371055</v>
      </c>
      <c r="O67" s="34">
        <v>10776543</v>
      </c>
      <c r="P67" s="57">
        <v>250</v>
      </c>
      <c r="Q67" s="57" t="s">
        <v>34</v>
      </c>
      <c r="R67" s="58">
        <v>13.69</v>
      </c>
      <c r="S67" s="59">
        <v>3422.5</v>
      </c>
    </row>
    <row r="68" spans="1:19" s="4" customFormat="1" ht="15" hidden="1" customHeight="1" x14ac:dyDescent="0.2">
      <c r="A68" s="29">
        <v>61</v>
      </c>
      <c r="B68" s="56">
        <v>45321</v>
      </c>
      <c r="C68" s="55">
        <v>45323</v>
      </c>
      <c r="D68" s="34" t="s">
        <v>27</v>
      </c>
      <c r="E68" s="34" t="s">
        <v>52</v>
      </c>
      <c r="F68" s="34"/>
      <c r="G68" s="34" t="s">
        <v>29</v>
      </c>
      <c r="H68" s="31">
        <v>1000287</v>
      </c>
      <c r="I68" s="34" t="s">
        <v>30</v>
      </c>
      <c r="J68" s="34" t="s">
        <v>133</v>
      </c>
      <c r="K68" s="31">
        <v>4010</v>
      </c>
      <c r="L68" s="34" t="s">
        <v>54</v>
      </c>
      <c r="M68" s="31" t="s">
        <v>55</v>
      </c>
      <c r="N68" s="31">
        <v>371055</v>
      </c>
      <c r="O68" s="34">
        <v>10776543</v>
      </c>
      <c r="P68" s="57">
        <v>183.4</v>
      </c>
      <c r="Q68" s="57" t="s">
        <v>34</v>
      </c>
      <c r="R68" s="58">
        <v>13.69</v>
      </c>
      <c r="S68" s="59">
        <v>2510.7460000000001</v>
      </c>
    </row>
    <row r="69" spans="1:19" s="4" customFormat="1" ht="15" hidden="1" customHeight="1" x14ac:dyDescent="0.2">
      <c r="A69" s="29">
        <v>62</v>
      </c>
      <c r="B69" s="56">
        <v>45321</v>
      </c>
      <c r="C69" s="55">
        <v>45323</v>
      </c>
      <c r="D69" s="34" t="s">
        <v>41</v>
      </c>
      <c r="E69" s="34" t="s">
        <v>52</v>
      </c>
      <c r="F69" s="34"/>
      <c r="G69" s="34" t="s">
        <v>29</v>
      </c>
      <c r="H69" s="31">
        <v>1000238</v>
      </c>
      <c r="I69" s="34" t="s">
        <v>42</v>
      </c>
      <c r="J69" s="34" t="s">
        <v>134</v>
      </c>
      <c r="K69" s="31">
        <v>4010</v>
      </c>
      <c r="L69" s="34" t="s">
        <v>54</v>
      </c>
      <c r="M69" s="31" t="s">
        <v>55</v>
      </c>
      <c r="N69" s="31">
        <v>371055</v>
      </c>
      <c r="O69" s="34">
        <v>10776543</v>
      </c>
      <c r="P69" s="57">
        <v>1</v>
      </c>
      <c r="Q69" s="57" t="s">
        <v>26</v>
      </c>
      <c r="R69" s="58">
        <v>161</v>
      </c>
      <c r="S69" s="59">
        <v>161</v>
      </c>
    </row>
    <row r="70" spans="1:19" s="4" customFormat="1" ht="15" hidden="1" customHeight="1" x14ac:dyDescent="0.2">
      <c r="A70" s="29">
        <v>63</v>
      </c>
      <c r="B70" s="56">
        <v>45321</v>
      </c>
      <c r="C70" s="55">
        <v>45323</v>
      </c>
      <c r="D70" s="34" t="s">
        <v>27</v>
      </c>
      <c r="E70" s="34" t="s">
        <v>52</v>
      </c>
      <c r="F70" s="34"/>
      <c r="G70" s="34" t="s">
        <v>75</v>
      </c>
      <c r="H70" s="31">
        <v>1000287</v>
      </c>
      <c r="I70" s="34" t="s">
        <v>30</v>
      </c>
      <c r="J70" s="34" t="s">
        <v>135</v>
      </c>
      <c r="K70" s="31">
        <v>4010</v>
      </c>
      <c r="L70" s="34" t="s">
        <v>54</v>
      </c>
      <c r="M70" s="31" t="s">
        <v>55</v>
      </c>
      <c r="N70" s="31">
        <v>371055</v>
      </c>
      <c r="O70" s="34">
        <v>10776391</v>
      </c>
      <c r="P70" s="57">
        <v>301</v>
      </c>
      <c r="Q70" s="57" t="s">
        <v>34</v>
      </c>
      <c r="R70" s="58">
        <v>12.28</v>
      </c>
      <c r="S70" s="59">
        <v>3696.2799999999997</v>
      </c>
    </row>
    <row r="71" spans="1:19" s="4" customFormat="1" ht="15" hidden="1" customHeight="1" x14ac:dyDescent="0.2">
      <c r="A71" s="29">
        <v>64</v>
      </c>
      <c r="B71" s="56">
        <v>45321</v>
      </c>
      <c r="C71" s="55">
        <v>45323</v>
      </c>
      <c r="D71" s="34" t="s">
        <v>41</v>
      </c>
      <c r="E71" s="34" t="s">
        <v>52</v>
      </c>
      <c r="F71" s="34"/>
      <c r="G71" s="34" t="s">
        <v>75</v>
      </c>
      <c r="H71" s="31">
        <v>1000238</v>
      </c>
      <c r="I71" s="34" t="s">
        <v>42</v>
      </c>
      <c r="J71" s="34" t="s">
        <v>136</v>
      </c>
      <c r="K71" s="31">
        <v>4010</v>
      </c>
      <c r="L71" s="34" t="s">
        <v>54</v>
      </c>
      <c r="M71" s="31" t="s">
        <v>55</v>
      </c>
      <c r="N71" s="31">
        <v>371055</v>
      </c>
      <c r="O71" s="34">
        <v>10776391</v>
      </c>
      <c r="P71" s="57">
        <v>1</v>
      </c>
      <c r="Q71" s="57" t="s">
        <v>26</v>
      </c>
      <c r="R71" s="58">
        <v>191.61</v>
      </c>
      <c r="S71" s="59">
        <v>191.61</v>
      </c>
    </row>
    <row r="72" spans="1:19" s="4" customFormat="1" ht="15" hidden="1" customHeight="1" x14ac:dyDescent="0.2">
      <c r="A72" s="29">
        <v>65</v>
      </c>
      <c r="B72" s="56">
        <v>45329</v>
      </c>
      <c r="C72" s="55">
        <v>45323</v>
      </c>
      <c r="D72" s="34" t="s">
        <v>27</v>
      </c>
      <c r="E72" s="34" t="s">
        <v>141</v>
      </c>
      <c r="F72" s="34"/>
      <c r="G72" s="34" t="s">
        <v>142</v>
      </c>
      <c r="H72" s="31">
        <v>1000287</v>
      </c>
      <c r="I72" s="34" t="s">
        <v>30</v>
      </c>
      <c r="J72" s="34" t="s">
        <v>143</v>
      </c>
      <c r="K72" s="31">
        <v>4071</v>
      </c>
      <c r="L72" s="34" t="s">
        <v>144</v>
      </c>
      <c r="M72" s="31" t="s">
        <v>145</v>
      </c>
      <c r="N72" s="31">
        <v>375040</v>
      </c>
      <c r="O72" s="34">
        <v>10781247</v>
      </c>
      <c r="P72" s="57">
        <v>167</v>
      </c>
      <c r="Q72" s="57" t="s">
        <v>34</v>
      </c>
      <c r="R72" s="58">
        <v>12.06</v>
      </c>
      <c r="S72" s="59">
        <v>2014.02</v>
      </c>
    </row>
    <row r="73" spans="1:19" s="4" customFormat="1" ht="15" hidden="1" customHeight="1" x14ac:dyDescent="0.2">
      <c r="A73" s="29">
        <v>66</v>
      </c>
      <c r="B73" s="56">
        <v>45329</v>
      </c>
      <c r="C73" s="55">
        <v>45323</v>
      </c>
      <c r="D73" s="34" t="s">
        <v>41</v>
      </c>
      <c r="E73" s="34" t="s">
        <v>141</v>
      </c>
      <c r="F73" s="34"/>
      <c r="G73" s="34" t="s">
        <v>142</v>
      </c>
      <c r="H73" s="31">
        <v>1000238</v>
      </c>
      <c r="I73" s="34" t="s">
        <v>42</v>
      </c>
      <c r="J73" s="34" t="s">
        <v>146</v>
      </c>
      <c r="K73" s="31">
        <v>4071</v>
      </c>
      <c r="L73" s="34" t="s">
        <v>144</v>
      </c>
      <c r="M73" s="31" t="s">
        <v>145</v>
      </c>
      <c r="N73" s="31">
        <v>375040</v>
      </c>
      <c r="O73" s="34">
        <v>10781247</v>
      </c>
      <c r="P73" s="57">
        <v>1</v>
      </c>
      <c r="Q73" s="57" t="s">
        <v>26</v>
      </c>
      <c r="R73" s="58">
        <v>97.06</v>
      </c>
      <c r="S73" s="59">
        <v>97.06</v>
      </c>
    </row>
    <row r="74" spans="1:19" s="4" customFormat="1" ht="15" hidden="1" customHeight="1" x14ac:dyDescent="0.2">
      <c r="A74" s="29">
        <v>67</v>
      </c>
      <c r="B74" s="56">
        <v>45329</v>
      </c>
      <c r="C74" s="55">
        <v>45323</v>
      </c>
      <c r="D74" s="34" t="s">
        <v>147</v>
      </c>
      <c r="E74" s="34" t="s">
        <v>141</v>
      </c>
      <c r="F74" s="34"/>
      <c r="G74" s="34" t="s">
        <v>142</v>
      </c>
      <c r="H74" s="31">
        <v>2700618</v>
      </c>
      <c r="I74" s="34" t="s">
        <v>148</v>
      </c>
      <c r="J74" s="34" t="s">
        <v>149</v>
      </c>
      <c r="K74" s="31">
        <v>4071</v>
      </c>
      <c r="L74" s="34" t="s">
        <v>144</v>
      </c>
      <c r="M74" s="31" t="s">
        <v>145</v>
      </c>
      <c r="N74" s="31">
        <v>375040</v>
      </c>
      <c r="O74" s="34">
        <v>10781247</v>
      </c>
      <c r="P74" s="57">
        <v>1</v>
      </c>
      <c r="Q74" s="57" t="s">
        <v>26</v>
      </c>
      <c r="R74" s="58">
        <v>260</v>
      </c>
      <c r="S74" s="59">
        <v>260</v>
      </c>
    </row>
    <row r="75" spans="1:19" s="4" customFormat="1" ht="15" hidden="1" customHeight="1" x14ac:dyDescent="0.2">
      <c r="A75" s="29">
        <v>68</v>
      </c>
      <c r="B75" s="56">
        <v>45329</v>
      </c>
      <c r="C75" s="55">
        <v>45323</v>
      </c>
      <c r="D75" s="34" t="s">
        <v>27</v>
      </c>
      <c r="E75" s="34" t="s">
        <v>383</v>
      </c>
      <c r="F75" s="34"/>
      <c r="G75" s="34" t="s">
        <v>75</v>
      </c>
      <c r="H75" s="31">
        <v>1000287</v>
      </c>
      <c r="I75" s="34" t="s">
        <v>30</v>
      </c>
      <c r="J75" s="34" t="s">
        <v>150</v>
      </c>
      <c r="K75" s="31">
        <v>4048</v>
      </c>
      <c r="L75" s="34" t="s">
        <v>77</v>
      </c>
      <c r="M75" s="31" t="s">
        <v>151</v>
      </c>
      <c r="N75" s="31">
        <v>371065</v>
      </c>
      <c r="O75" s="34">
        <v>10780438</v>
      </c>
      <c r="P75" s="57">
        <v>250</v>
      </c>
      <c r="Q75" s="57" t="s">
        <v>34</v>
      </c>
      <c r="R75" s="58">
        <v>12.28</v>
      </c>
      <c r="S75" s="59">
        <v>3070</v>
      </c>
    </row>
    <row r="76" spans="1:19" s="4" customFormat="1" ht="15" hidden="1" customHeight="1" x14ac:dyDescent="0.2">
      <c r="A76" s="29">
        <v>69</v>
      </c>
      <c r="B76" s="56">
        <v>45329</v>
      </c>
      <c r="C76" s="55">
        <v>45323</v>
      </c>
      <c r="D76" s="34" t="s">
        <v>41</v>
      </c>
      <c r="E76" s="34" t="s">
        <v>383</v>
      </c>
      <c r="F76" s="34"/>
      <c r="G76" s="34" t="s">
        <v>75</v>
      </c>
      <c r="H76" s="31">
        <v>1000238</v>
      </c>
      <c r="I76" s="34" t="s">
        <v>42</v>
      </c>
      <c r="J76" s="34" t="s">
        <v>152</v>
      </c>
      <c r="K76" s="31">
        <v>4048</v>
      </c>
      <c r="L76" s="34" t="s">
        <v>77</v>
      </c>
      <c r="M76" s="31" t="s">
        <v>151</v>
      </c>
      <c r="N76" s="31">
        <v>371065</v>
      </c>
      <c r="O76" s="34">
        <v>10780438</v>
      </c>
      <c r="P76" s="57">
        <v>1</v>
      </c>
      <c r="Q76" s="57" t="s">
        <v>26</v>
      </c>
      <c r="R76" s="58">
        <v>125.86</v>
      </c>
      <c r="S76" s="59">
        <v>125.86</v>
      </c>
    </row>
    <row r="77" spans="1:19" s="4" customFormat="1" ht="15" hidden="1" customHeight="1" x14ac:dyDescent="0.2">
      <c r="A77" s="29">
        <v>70</v>
      </c>
      <c r="B77" s="56">
        <v>45329</v>
      </c>
      <c r="C77" s="55">
        <v>45323</v>
      </c>
      <c r="D77" s="34" t="s">
        <v>27</v>
      </c>
      <c r="E77" s="34" t="s">
        <v>383</v>
      </c>
      <c r="F77" s="34"/>
      <c r="G77" s="34" t="s">
        <v>75</v>
      </c>
      <c r="H77" s="31">
        <v>1000287</v>
      </c>
      <c r="I77" s="34" t="s">
        <v>30</v>
      </c>
      <c r="J77" s="34" t="s">
        <v>150</v>
      </c>
      <c r="K77" s="31">
        <v>4048</v>
      </c>
      <c r="L77" s="34" t="s">
        <v>77</v>
      </c>
      <c r="M77" s="31" t="s">
        <v>151</v>
      </c>
      <c r="N77" s="31">
        <v>371065</v>
      </c>
      <c r="O77" s="34">
        <v>10780438</v>
      </c>
      <c r="P77" s="57">
        <v>268</v>
      </c>
      <c r="Q77" s="57" t="s">
        <v>34</v>
      </c>
      <c r="R77" s="58">
        <v>12.28</v>
      </c>
      <c r="S77" s="59">
        <v>3291.04</v>
      </c>
    </row>
    <row r="78" spans="1:19" s="4" customFormat="1" ht="15" hidden="1" customHeight="1" x14ac:dyDescent="0.2">
      <c r="A78" s="29">
        <v>71</v>
      </c>
      <c r="B78" s="56">
        <v>45329</v>
      </c>
      <c r="C78" s="55">
        <v>45323</v>
      </c>
      <c r="D78" s="34" t="s">
        <v>41</v>
      </c>
      <c r="E78" s="34" t="s">
        <v>383</v>
      </c>
      <c r="F78" s="34"/>
      <c r="G78" s="34" t="s">
        <v>75</v>
      </c>
      <c r="H78" s="31">
        <v>1000238</v>
      </c>
      <c r="I78" s="34" t="s">
        <v>42</v>
      </c>
      <c r="J78" s="34" t="s">
        <v>152</v>
      </c>
      <c r="K78" s="31">
        <v>4048</v>
      </c>
      <c r="L78" s="34" t="s">
        <v>77</v>
      </c>
      <c r="M78" s="31" t="s">
        <v>151</v>
      </c>
      <c r="N78" s="31">
        <v>371065</v>
      </c>
      <c r="O78" s="34">
        <v>10780438</v>
      </c>
      <c r="P78" s="57">
        <v>1</v>
      </c>
      <c r="Q78" s="57" t="s">
        <v>26</v>
      </c>
      <c r="R78" s="58">
        <v>220.66</v>
      </c>
      <c r="S78" s="59">
        <v>220.66</v>
      </c>
    </row>
    <row r="79" spans="1:19" s="4" customFormat="1" ht="15" hidden="1" customHeight="1" x14ac:dyDescent="0.2">
      <c r="A79" s="29">
        <v>72</v>
      </c>
      <c r="B79" s="56">
        <v>45324</v>
      </c>
      <c r="C79" s="55">
        <v>45323</v>
      </c>
      <c r="D79" s="34" t="s">
        <v>27</v>
      </c>
      <c r="E79" s="34" t="s">
        <v>52</v>
      </c>
      <c r="F79" s="34"/>
      <c r="G79" s="34" t="s">
        <v>29</v>
      </c>
      <c r="H79" s="31">
        <v>1000287</v>
      </c>
      <c r="I79" s="34" t="s">
        <v>30</v>
      </c>
      <c r="J79" s="34" t="s">
        <v>137</v>
      </c>
      <c r="K79" s="31">
        <v>4031</v>
      </c>
      <c r="L79" s="34" t="s">
        <v>138</v>
      </c>
      <c r="M79" s="31" t="s">
        <v>139</v>
      </c>
      <c r="N79" s="31">
        <v>371055</v>
      </c>
      <c r="O79" s="34">
        <v>10780443</v>
      </c>
      <c r="P79" s="57">
        <v>635.1</v>
      </c>
      <c r="Q79" s="57" t="s">
        <v>34</v>
      </c>
      <c r="R79" s="58">
        <v>13.69</v>
      </c>
      <c r="S79" s="59">
        <v>8694.5190000000002</v>
      </c>
    </row>
    <row r="80" spans="1:19" s="4" customFormat="1" ht="15" hidden="1" customHeight="1" x14ac:dyDescent="0.2">
      <c r="A80" s="29">
        <v>73</v>
      </c>
      <c r="B80" s="56">
        <v>45324</v>
      </c>
      <c r="C80" s="55">
        <v>45323</v>
      </c>
      <c r="D80" s="34" t="s">
        <v>41</v>
      </c>
      <c r="E80" s="34" t="s">
        <v>52</v>
      </c>
      <c r="F80" s="34"/>
      <c r="G80" s="34" t="s">
        <v>29</v>
      </c>
      <c r="H80" s="31">
        <v>1000238</v>
      </c>
      <c r="I80" s="34" t="s">
        <v>42</v>
      </c>
      <c r="J80" s="34" t="s">
        <v>140</v>
      </c>
      <c r="K80" s="31">
        <v>4031</v>
      </c>
      <c r="L80" s="34" t="s">
        <v>138</v>
      </c>
      <c r="M80" s="31" t="s">
        <v>139</v>
      </c>
      <c r="N80" s="31">
        <v>371055</v>
      </c>
      <c r="O80" s="34">
        <v>10780443</v>
      </c>
      <c r="P80" s="57">
        <v>1</v>
      </c>
      <c r="Q80" s="57" t="s">
        <v>26</v>
      </c>
      <c r="R80" s="58">
        <v>409.91</v>
      </c>
      <c r="S80" s="59">
        <v>409.91</v>
      </c>
    </row>
    <row r="81" spans="1:19" s="4" customFormat="1" ht="15" hidden="1" customHeight="1" x14ac:dyDescent="0.2">
      <c r="A81" s="29">
        <v>74</v>
      </c>
      <c r="B81" s="56">
        <v>45329</v>
      </c>
      <c r="C81" s="55">
        <v>45323</v>
      </c>
      <c r="D81" s="34" t="s">
        <v>27</v>
      </c>
      <c r="E81" s="34" t="s">
        <v>74</v>
      </c>
      <c r="F81" s="34"/>
      <c r="G81" s="34" t="s">
        <v>29</v>
      </c>
      <c r="H81" s="31">
        <v>1000287</v>
      </c>
      <c r="I81" s="34" t="s">
        <v>30</v>
      </c>
      <c r="J81" s="34" t="s">
        <v>153</v>
      </c>
      <c r="K81" s="31">
        <v>4001</v>
      </c>
      <c r="L81" s="34" t="s">
        <v>154</v>
      </c>
      <c r="M81" s="31" t="s">
        <v>155</v>
      </c>
      <c r="N81" s="31">
        <v>371045</v>
      </c>
      <c r="O81" s="34">
        <v>10780443</v>
      </c>
      <c r="P81" s="57">
        <v>625.20000000000005</v>
      </c>
      <c r="Q81" s="57" t="s">
        <v>34</v>
      </c>
      <c r="R81" s="58">
        <v>13.69</v>
      </c>
      <c r="S81" s="59">
        <v>8558.9880000000012</v>
      </c>
    </row>
    <row r="82" spans="1:19" s="4" customFormat="1" ht="15" hidden="1" customHeight="1" x14ac:dyDescent="0.2">
      <c r="A82" s="29">
        <v>75</v>
      </c>
      <c r="B82" s="56">
        <v>45329</v>
      </c>
      <c r="C82" s="55">
        <v>45323</v>
      </c>
      <c r="D82" s="34" t="s">
        <v>41</v>
      </c>
      <c r="E82" s="34" t="s">
        <v>74</v>
      </c>
      <c r="F82" s="34"/>
      <c r="G82" s="34" t="s">
        <v>29</v>
      </c>
      <c r="H82" s="31">
        <v>1000238</v>
      </c>
      <c r="I82" s="34" t="s">
        <v>42</v>
      </c>
      <c r="J82" s="34" t="s">
        <v>156</v>
      </c>
      <c r="K82" s="31">
        <v>4001</v>
      </c>
      <c r="L82" s="34" t="s">
        <v>154</v>
      </c>
      <c r="M82" s="31" t="s">
        <v>155</v>
      </c>
      <c r="N82" s="31">
        <v>371045</v>
      </c>
      <c r="O82" s="34">
        <v>10780443</v>
      </c>
      <c r="P82" s="57">
        <v>1</v>
      </c>
      <c r="Q82" s="57" t="s">
        <v>26</v>
      </c>
      <c r="R82" s="58">
        <v>355.9</v>
      </c>
      <c r="S82" s="59">
        <v>355.9</v>
      </c>
    </row>
    <row r="83" spans="1:19" s="4" customFormat="1" ht="15" hidden="1" customHeight="1" x14ac:dyDescent="0.2">
      <c r="A83" s="29">
        <v>76</v>
      </c>
      <c r="B83" s="56">
        <v>45329</v>
      </c>
      <c r="C83" s="55">
        <v>45323</v>
      </c>
      <c r="D83" s="34" t="s">
        <v>27</v>
      </c>
      <c r="E83" s="34" t="s">
        <v>383</v>
      </c>
      <c r="F83" s="34"/>
      <c r="G83" s="34" t="s">
        <v>29</v>
      </c>
      <c r="H83" s="31">
        <v>1000287</v>
      </c>
      <c r="I83" s="34" t="s">
        <v>30</v>
      </c>
      <c r="J83" s="34" t="s">
        <v>150</v>
      </c>
      <c r="K83" s="31">
        <v>4048</v>
      </c>
      <c r="L83" s="34" t="s">
        <v>77</v>
      </c>
      <c r="M83" s="31" t="s">
        <v>151</v>
      </c>
      <c r="N83" s="31">
        <v>371065</v>
      </c>
      <c r="O83" s="34">
        <v>10780443</v>
      </c>
      <c r="P83" s="57">
        <v>308.39999999999998</v>
      </c>
      <c r="Q83" s="57" t="s">
        <v>34</v>
      </c>
      <c r="R83" s="58">
        <v>13.69</v>
      </c>
      <c r="S83" s="59">
        <v>4221.9959999999992</v>
      </c>
    </row>
    <row r="84" spans="1:19" s="4" customFormat="1" ht="15" hidden="1" customHeight="1" x14ac:dyDescent="0.2">
      <c r="A84" s="29">
        <v>77</v>
      </c>
      <c r="B84" s="56">
        <v>45329</v>
      </c>
      <c r="C84" s="55">
        <v>45323</v>
      </c>
      <c r="D84" s="34" t="s">
        <v>41</v>
      </c>
      <c r="E84" s="34" t="s">
        <v>383</v>
      </c>
      <c r="F84" s="34"/>
      <c r="G84" s="34" t="s">
        <v>29</v>
      </c>
      <c r="H84" s="31">
        <v>1000238</v>
      </c>
      <c r="I84" s="34" t="s">
        <v>42</v>
      </c>
      <c r="J84" s="34" t="s">
        <v>152</v>
      </c>
      <c r="K84" s="31">
        <v>4048</v>
      </c>
      <c r="L84" s="34" t="s">
        <v>77</v>
      </c>
      <c r="M84" s="31" t="s">
        <v>151</v>
      </c>
      <c r="N84" s="31">
        <v>371065</v>
      </c>
      <c r="O84" s="34">
        <v>10780443</v>
      </c>
      <c r="P84" s="57">
        <v>1</v>
      </c>
      <c r="Q84" s="57" t="s">
        <v>26</v>
      </c>
      <c r="R84" s="58">
        <v>142.86000000000001</v>
      </c>
      <c r="S84" s="59">
        <v>142.86000000000001</v>
      </c>
    </row>
    <row r="85" spans="1:19" s="4" customFormat="1" ht="15" hidden="1" customHeight="1" x14ac:dyDescent="0.2">
      <c r="A85" s="29">
        <v>78</v>
      </c>
      <c r="B85" s="56">
        <v>45330</v>
      </c>
      <c r="C85" s="55">
        <v>45323</v>
      </c>
      <c r="D85" s="34" t="s">
        <v>27</v>
      </c>
      <c r="E85" s="34" t="s">
        <v>383</v>
      </c>
      <c r="F85" s="34"/>
      <c r="G85" s="34" t="s">
        <v>29</v>
      </c>
      <c r="H85" s="31">
        <v>1000287</v>
      </c>
      <c r="I85" s="34" t="s">
        <v>30</v>
      </c>
      <c r="J85" s="34" t="s">
        <v>157</v>
      </c>
      <c r="K85" s="31">
        <v>4016</v>
      </c>
      <c r="L85" s="34" t="s">
        <v>63</v>
      </c>
      <c r="M85" s="31" t="s">
        <v>128</v>
      </c>
      <c r="N85" s="31">
        <v>371065</v>
      </c>
      <c r="O85" s="34">
        <v>10780443</v>
      </c>
      <c r="P85" s="57">
        <v>765.8</v>
      </c>
      <c r="Q85" s="57" t="s">
        <v>34</v>
      </c>
      <c r="R85" s="58">
        <v>13.69</v>
      </c>
      <c r="S85" s="59">
        <v>10483.802</v>
      </c>
    </row>
    <row r="86" spans="1:19" s="4" customFormat="1" ht="15" hidden="1" customHeight="1" x14ac:dyDescent="0.2">
      <c r="A86" s="29">
        <v>79</v>
      </c>
      <c r="B86" s="56">
        <v>45330</v>
      </c>
      <c r="C86" s="55">
        <v>45323</v>
      </c>
      <c r="D86" s="34" t="s">
        <v>41</v>
      </c>
      <c r="E86" s="34" t="s">
        <v>383</v>
      </c>
      <c r="F86" s="34"/>
      <c r="G86" s="34" t="s">
        <v>29</v>
      </c>
      <c r="H86" s="31">
        <v>1000238</v>
      </c>
      <c r="I86" s="34" t="s">
        <v>42</v>
      </c>
      <c r="J86" s="34" t="s">
        <v>158</v>
      </c>
      <c r="K86" s="31">
        <v>4016</v>
      </c>
      <c r="L86" s="34" t="s">
        <v>63</v>
      </c>
      <c r="M86" s="31" t="s">
        <v>128</v>
      </c>
      <c r="N86" s="31">
        <v>371065</v>
      </c>
      <c r="O86" s="34">
        <v>10780443</v>
      </c>
      <c r="P86" s="57">
        <v>1</v>
      </c>
      <c r="Q86" s="57" t="s">
        <v>26</v>
      </c>
      <c r="R86" s="58">
        <v>620</v>
      </c>
      <c r="S86" s="59">
        <v>620</v>
      </c>
    </row>
    <row r="87" spans="1:19" s="4" customFormat="1" ht="15" hidden="1" customHeight="1" x14ac:dyDescent="0.2">
      <c r="A87" s="29">
        <v>80</v>
      </c>
      <c r="B87" s="56">
        <v>45335</v>
      </c>
      <c r="C87" s="55">
        <v>45323</v>
      </c>
      <c r="D87" s="34" t="s">
        <v>27</v>
      </c>
      <c r="E87" s="34" t="s">
        <v>74</v>
      </c>
      <c r="F87" s="34"/>
      <c r="G87" s="34" t="s">
        <v>29</v>
      </c>
      <c r="H87" s="31">
        <v>1000287</v>
      </c>
      <c r="I87" s="34" t="s">
        <v>30</v>
      </c>
      <c r="J87" s="34" t="s">
        <v>159</v>
      </c>
      <c r="K87" s="31">
        <v>4048</v>
      </c>
      <c r="L87" s="34" t="s">
        <v>77</v>
      </c>
      <c r="M87" s="31" t="s">
        <v>151</v>
      </c>
      <c r="N87" s="31">
        <v>371045</v>
      </c>
      <c r="O87" s="34">
        <v>10780443</v>
      </c>
      <c r="P87" s="57">
        <v>345</v>
      </c>
      <c r="Q87" s="57" t="s">
        <v>34</v>
      </c>
      <c r="R87" s="58">
        <v>13.69</v>
      </c>
      <c r="S87" s="59">
        <v>4723.05</v>
      </c>
    </row>
    <row r="88" spans="1:19" s="4" customFormat="1" ht="15" hidden="1" customHeight="1" x14ac:dyDescent="0.2">
      <c r="A88" s="29">
        <v>81</v>
      </c>
      <c r="B88" s="56">
        <v>45335</v>
      </c>
      <c r="C88" s="55">
        <v>45323</v>
      </c>
      <c r="D88" s="34" t="s">
        <v>41</v>
      </c>
      <c r="E88" s="34" t="s">
        <v>74</v>
      </c>
      <c r="F88" s="34"/>
      <c r="G88" s="34" t="s">
        <v>29</v>
      </c>
      <c r="H88" s="31">
        <v>1000238</v>
      </c>
      <c r="I88" s="34" t="s">
        <v>42</v>
      </c>
      <c r="J88" s="34" t="s">
        <v>160</v>
      </c>
      <c r="K88" s="31">
        <v>4048</v>
      </c>
      <c r="L88" s="34" t="s">
        <v>77</v>
      </c>
      <c r="M88" s="31" t="s">
        <v>151</v>
      </c>
      <c r="N88" s="31">
        <v>371045</v>
      </c>
      <c r="O88" s="34">
        <v>10780443</v>
      </c>
      <c r="P88" s="57">
        <v>1</v>
      </c>
      <c r="Q88" s="57" t="s">
        <v>26</v>
      </c>
      <c r="R88" s="58">
        <v>156.68</v>
      </c>
      <c r="S88" s="59">
        <v>156.68</v>
      </c>
    </row>
    <row r="89" spans="1:19" s="4" customFormat="1" ht="15" hidden="1" customHeight="1" x14ac:dyDescent="0.2">
      <c r="A89" s="29">
        <v>82</v>
      </c>
      <c r="B89" s="56">
        <v>45336</v>
      </c>
      <c r="C89" s="55">
        <v>45323</v>
      </c>
      <c r="D89" s="34" t="s">
        <v>27</v>
      </c>
      <c r="E89" s="34" t="s">
        <v>383</v>
      </c>
      <c r="F89" s="34"/>
      <c r="G89" s="34" t="s">
        <v>29</v>
      </c>
      <c r="H89" s="31">
        <v>1000238</v>
      </c>
      <c r="I89" s="34" t="s">
        <v>42</v>
      </c>
      <c r="J89" s="34" t="s">
        <v>161</v>
      </c>
      <c r="K89" s="31">
        <v>4067</v>
      </c>
      <c r="L89" s="34" t="s">
        <v>67</v>
      </c>
      <c r="M89" s="31" t="s">
        <v>68</v>
      </c>
      <c r="N89" s="31">
        <v>371065</v>
      </c>
      <c r="O89" s="34">
        <v>10780472</v>
      </c>
      <c r="P89" s="57">
        <v>435.3</v>
      </c>
      <c r="Q89" s="57" t="s">
        <v>34</v>
      </c>
      <c r="R89" s="58">
        <v>13.69</v>
      </c>
      <c r="S89" s="59">
        <v>5959.2569999999996</v>
      </c>
    </row>
    <row r="90" spans="1:19" s="4" customFormat="1" ht="15" hidden="1" customHeight="1" x14ac:dyDescent="0.2">
      <c r="A90" s="29">
        <v>83</v>
      </c>
      <c r="B90" s="56">
        <v>45336</v>
      </c>
      <c r="C90" s="55">
        <v>45323</v>
      </c>
      <c r="D90" s="34" t="s">
        <v>41</v>
      </c>
      <c r="E90" s="34" t="s">
        <v>383</v>
      </c>
      <c r="F90" s="34"/>
      <c r="G90" s="34" t="s">
        <v>29</v>
      </c>
      <c r="H90" s="31">
        <v>1000287</v>
      </c>
      <c r="I90" s="34" t="s">
        <v>30</v>
      </c>
      <c r="J90" s="34" t="s">
        <v>162</v>
      </c>
      <c r="K90" s="31">
        <v>4067</v>
      </c>
      <c r="L90" s="34" t="s">
        <v>67</v>
      </c>
      <c r="M90" s="31" t="s">
        <v>68</v>
      </c>
      <c r="N90" s="31">
        <v>371065</v>
      </c>
      <c r="O90" s="34">
        <v>10780472</v>
      </c>
      <c r="P90" s="57">
        <v>1</v>
      </c>
      <c r="Q90" s="57" t="s">
        <v>26</v>
      </c>
      <c r="R90" s="58">
        <v>205.2</v>
      </c>
      <c r="S90" s="59">
        <v>205.2</v>
      </c>
    </row>
    <row r="91" spans="1:19" s="4" customFormat="1" ht="15" hidden="1" customHeight="1" x14ac:dyDescent="0.2">
      <c r="A91" s="29">
        <v>84</v>
      </c>
      <c r="B91" s="56">
        <v>45338</v>
      </c>
      <c r="C91" s="55">
        <v>45323</v>
      </c>
      <c r="D91" s="34" t="s">
        <v>41</v>
      </c>
      <c r="E91" s="34" t="s">
        <v>52</v>
      </c>
      <c r="F91" s="34"/>
      <c r="G91" s="34" t="s">
        <v>29</v>
      </c>
      <c r="H91" s="31">
        <v>1000238</v>
      </c>
      <c r="I91" s="34" t="s">
        <v>42</v>
      </c>
      <c r="J91" s="34" t="s">
        <v>163</v>
      </c>
      <c r="K91" s="31">
        <v>4002</v>
      </c>
      <c r="L91" s="34" t="s">
        <v>164</v>
      </c>
      <c r="M91" s="31">
        <v>2263</v>
      </c>
      <c r="N91" s="31">
        <v>371055</v>
      </c>
      <c r="O91" s="34">
        <v>10780472</v>
      </c>
      <c r="P91" s="57">
        <v>1027.5</v>
      </c>
      <c r="Q91" s="57" t="s">
        <v>34</v>
      </c>
      <c r="R91" s="58">
        <v>13.69</v>
      </c>
      <c r="S91" s="59">
        <v>14066.475</v>
      </c>
    </row>
    <row r="92" spans="1:19" s="4" customFormat="1" ht="15" hidden="1" customHeight="1" x14ac:dyDescent="0.2">
      <c r="A92" s="29">
        <v>85</v>
      </c>
      <c r="B92" s="56">
        <v>45338</v>
      </c>
      <c r="C92" s="55">
        <v>45323</v>
      </c>
      <c r="D92" s="34" t="s">
        <v>41</v>
      </c>
      <c r="E92" s="34" t="s">
        <v>52</v>
      </c>
      <c r="F92" s="34"/>
      <c r="G92" s="34" t="s">
        <v>29</v>
      </c>
      <c r="H92" s="31">
        <v>1000287</v>
      </c>
      <c r="I92" s="34" t="s">
        <v>30</v>
      </c>
      <c r="J92" s="34" t="s">
        <v>165</v>
      </c>
      <c r="K92" s="31">
        <v>4002</v>
      </c>
      <c r="L92" s="34" t="s">
        <v>164</v>
      </c>
      <c r="M92" s="31">
        <v>2263</v>
      </c>
      <c r="N92" s="31">
        <v>371055</v>
      </c>
      <c r="O92" s="34">
        <v>10780472</v>
      </c>
      <c r="P92" s="57">
        <v>1</v>
      </c>
      <c r="Q92" s="57" t="s">
        <v>26</v>
      </c>
      <c r="R92" s="58">
        <v>912.6</v>
      </c>
      <c r="S92" s="59">
        <v>912.6</v>
      </c>
    </row>
    <row r="93" spans="1:19" s="4" customFormat="1" ht="15" hidden="1" customHeight="1" x14ac:dyDescent="0.2">
      <c r="A93" s="29">
        <v>86</v>
      </c>
      <c r="B93" s="56">
        <v>45339</v>
      </c>
      <c r="C93" s="55">
        <v>45323</v>
      </c>
      <c r="D93" s="34" t="s">
        <v>41</v>
      </c>
      <c r="E93" s="34" t="s">
        <v>74</v>
      </c>
      <c r="F93" s="34"/>
      <c r="G93" s="34" t="s">
        <v>29</v>
      </c>
      <c r="H93" s="31">
        <v>1000238</v>
      </c>
      <c r="I93" s="34" t="s">
        <v>42</v>
      </c>
      <c r="J93" s="34" t="s">
        <v>166</v>
      </c>
      <c r="K93" s="31">
        <v>4002</v>
      </c>
      <c r="L93" s="34" t="s">
        <v>164</v>
      </c>
      <c r="M93" s="31">
        <v>2263</v>
      </c>
      <c r="N93" s="31">
        <v>371045</v>
      </c>
      <c r="O93" s="34">
        <v>10780472</v>
      </c>
      <c r="P93" s="57">
        <v>242.2</v>
      </c>
      <c r="Q93" s="57" t="s">
        <v>34</v>
      </c>
      <c r="R93" s="58">
        <v>13.69</v>
      </c>
      <c r="S93" s="59">
        <v>3315.7179999999998</v>
      </c>
    </row>
    <row r="94" spans="1:19" s="4" customFormat="1" ht="15" hidden="1" customHeight="1" x14ac:dyDescent="0.2">
      <c r="A94" s="29">
        <v>87</v>
      </c>
      <c r="B94" s="56">
        <v>45339</v>
      </c>
      <c r="C94" s="55">
        <v>45323</v>
      </c>
      <c r="D94" s="34" t="s">
        <v>41</v>
      </c>
      <c r="E94" s="34" t="s">
        <v>74</v>
      </c>
      <c r="F94" s="34"/>
      <c r="G94" s="34" t="s">
        <v>29</v>
      </c>
      <c r="H94" s="31">
        <v>1000287</v>
      </c>
      <c r="I94" s="34" t="s">
        <v>30</v>
      </c>
      <c r="J94" s="34" t="s">
        <v>167</v>
      </c>
      <c r="K94" s="31">
        <v>4002</v>
      </c>
      <c r="L94" s="34" t="s">
        <v>164</v>
      </c>
      <c r="M94" s="31">
        <v>2263</v>
      </c>
      <c r="N94" s="31">
        <v>371045</v>
      </c>
      <c r="O94" s="34">
        <v>10780472</v>
      </c>
      <c r="P94" s="57">
        <v>1</v>
      </c>
      <c r="Q94" s="57" t="s">
        <v>26</v>
      </c>
      <c r="R94" s="58">
        <v>217</v>
      </c>
      <c r="S94" s="59">
        <v>217</v>
      </c>
    </row>
    <row r="95" spans="1:19" s="4" customFormat="1" ht="15" hidden="1" customHeight="1" x14ac:dyDescent="0.2">
      <c r="A95" s="29">
        <v>88</v>
      </c>
      <c r="B95" s="56">
        <v>45339</v>
      </c>
      <c r="C95" s="55">
        <v>45323</v>
      </c>
      <c r="D95" s="34" t="s">
        <v>35</v>
      </c>
      <c r="E95" s="34" t="s">
        <v>74</v>
      </c>
      <c r="F95" s="34"/>
      <c r="G95" s="34" t="s">
        <v>29</v>
      </c>
      <c r="H95" s="31">
        <v>1000287</v>
      </c>
      <c r="I95" s="34" t="s">
        <v>30</v>
      </c>
      <c r="J95" s="34" t="s">
        <v>168</v>
      </c>
      <c r="K95" s="31">
        <v>4002</v>
      </c>
      <c r="L95" s="34" t="s">
        <v>164</v>
      </c>
      <c r="M95" s="31">
        <v>2263</v>
      </c>
      <c r="N95" s="31">
        <v>371045</v>
      </c>
      <c r="O95" s="34">
        <v>10780472</v>
      </c>
      <c r="P95" s="57">
        <v>250</v>
      </c>
      <c r="Q95" s="57" t="s">
        <v>34</v>
      </c>
      <c r="R95" s="58">
        <v>13.69</v>
      </c>
      <c r="S95" s="59">
        <v>3422.5</v>
      </c>
    </row>
    <row r="96" spans="1:19" s="4" customFormat="1" ht="15" hidden="1" customHeight="1" x14ac:dyDescent="0.2">
      <c r="A96" s="29">
        <v>89</v>
      </c>
      <c r="B96" s="56">
        <v>45339</v>
      </c>
      <c r="C96" s="55">
        <v>45323</v>
      </c>
      <c r="D96" s="34" t="s">
        <v>27</v>
      </c>
      <c r="E96" s="34" t="s">
        <v>52</v>
      </c>
      <c r="F96" s="34"/>
      <c r="G96" s="34" t="s">
        <v>29</v>
      </c>
      <c r="H96" s="31">
        <v>1000287</v>
      </c>
      <c r="I96" s="34" t="s">
        <v>30</v>
      </c>
      <c r="J96" s="34" t="s">
        <v>169</v>
      </c>
      <c r="K96" s="31">
        <v>4016</v>
      </c>
      <c r="L96" s="34" t="s">
        <v>63</v>
      </c>
      <c r="M96" s="31" t="s">
        <v>170</v>
      </c>
      <c r="N96" s="31">
        <v>371055</v>
      </c>
      <c r="O96" s="34">
        <v>10780472</v>
      </c>
      <c r="P96" s="57">
        <v>901.5</v>
      </c>
      <c r="Q96" s="57" t="s">
        <v>34</v>
      </c>
      <c r="R96" s="58">
        <v>13.69</v>
      </c>
      <c r="S96" s="59">
        <v>12341.535</v>
      </c>
    </row>
    <row r="97" spans="1:19" s="4" customFormat="1" ht="15" hidden="1" customHeight="1" x14ac:dyDescent="0.2">
      <c r="A97" s="29">
        <v>90</v>
      </c>
      <c r="B97" s="56">
        <v>45339</v>
      </c>
      <c r="C97" s="55">
        <v>45323</v>
      </c>
      <c r="D97" s="34" t="s">
        <v>41</v>
      </c>
      <c r="E97" s="34" t="s">
        <v>52</v>
      </c>
      <c r="F97" s="34"/>
      <c r="G97" s="34" t="s">
        <v>29</v>
      </c>
      <c r="H97" s="31">
        <v>1000238</v>
      </c>
      <c r="I97" s="34" t="s">
        <v>42</v>
      </c>
      <c r="J97" s="34" t="s">
        <v>171</v>
      </c>
      <c r="K97" s="31">
        <v>4016</v>
      </c>
      <c r="L97" s="34" t="s">
        <v>63</v>
      </c>
      <c r="M97" s="31" t="s">
        <v>170</v>
      </c>
      <c r="N97" s="31">
        <v>371055</v>
      </c>
      <c r="O97" s="34">
        <v>10780472</v>
      </c>
      <c r="P97" s="57">
        <v>1</v>
      </c>
      <c r="Q97" s="57" t="s">
        <v>26</v>
      </c>
      <c r="R97" s="58">
        <v>676</v>
      </c>
      <c r="S97" s="59">
        <v>676</v>
      </c>
    </row>
    <row r="98" spans="1:19" s="4" customFormat="1" ht="15" hidden="1" customHeight="1" x14ac:dyDescent="0.2">
      <c r="A98" s="29">
        <v>91</v>
      </c>
      <c r="B98" s="56">
        <v>45342</v>
      </c>
      <c r="C98" s="55">
        <v>45323</v>
      </c>
      <c r="D98" s="34" t="s">
        <v>18</v>
      </c>
      <c r="E98" s="34" t="s">
        <v>19</v>
      </c>
      <c r="F98" s="34"/>
      <c r="G98" s="34" t="s">
        <v>20</v>
      </c>
      <c r="H98" s="31" t="s">
        <v>21</v>
      </c>
      <c r="I98" s="34" t="s">
        <v>22</v>
      </c>
      <c r="J98" s="34" t="s">
        <v>23</v>
      </c>
      <c r="K98" s="31" t="s">
        <v>24</v>
      </c>
      <c r="L98" s="34" t="e">
        <v>#N/A</v>
      </c>
      <c r="M98" s="31" t="s">
        <v>24</v>
      </c>
      <c r="N98" s="31">
        <v>371075</v>
      </c>
      <c r="O98" s="34" t="s">
        <v>25</v>
      </c>
      <c r="P98" s="57">
        <v>1</v>
      </c>
      <c r="Q98" s="57" t="s">
        <v>26</v>
      </c>
      <c r="R98" s="58">
        <v>384444.91200000007</v>
      </c>
      <c r="S98" s="59">
        <v>384444.91200000007</v>
      </c>
    </row>
    <row r="99" spans="1:19" s="4" customFormat="1" ht="15" hidden="1" customHeight="1" x14ac:dyDescent="0.2">
      <c r="A99" s="29">
        <v>92</v>
      </c>
      <c r="B99" s="56">
        <v>45342</v>
      </c>
      <c r="C99" s="55">
        <v>45323</v>
      </c>
      <c r="D99" s="34" t="s">
        <v>27</v>
      </c>
      <c r="E99" s="34" t="s">
        <v>52</v>
      </c>
      <c r="F99" s="34"/>
      <c r="G99" s="34" t="s">
        <v>75</v>
      </c>
      <c r="H99" s="31">
        <v>1000287</v>
      </c>
      <c r="I99" s="34" t="s">
        <v>30</v>
      </c>
      <c r="J99" s="34" t="s">
        <v>172</v>
      </c>
      <c r="K99" s="31">
        <v>4009</v>
      </c>
      <c r="L99" s="34" t="s">
        <v>173</v>
      </c>
      <c r="M99" s="31" t="s">
        <v>174</v>
      </c>
      <c r="N99" s="31">
        <v>371055</v>
      </c>
      <c r="O99" s="34">
        <v>10781343</v>
      </c>
      <c r="P99" s="57">
        <v>250</v>
      </c>
      <c r="Q99" s="57" t="s">
        <v>34</v>
      </c>
      <c r="R99" s="58">
        <v>12.28</v>
      </c>
      <c r="S99" s="59">
        <v>3070</v>
      </c>
    </row>
    <row r="100" spans="1:19" s="4" customFormat="1" ht="15" hidden="1" customHeight="1" x14ac:dyDescent="0.2">
      <c r="A100" s="29">
        <v>93</v>
      </c>
      <c r="B100" s="56">
        <v>45342</v>
      </c>
      <c r="C100" s="55">
        <v>45323</v>
      </c>
      <c r="D100" s="34" t="s">
        <v>41</v>
      </c>
      <c r="E100" s="34" t="s">
        <v>52</v>
      </c>
      <c r="F100" s="34"/>
      <c r="G100" s="34" t="s">
        <v>75</v>
      </c>
      <c r="H100" s="31">
        <v>1000238</v>
      </c>
      <c r="I100" s="34" t="s">
        <v>42</v>
      </c>
      <c r="J100" s="34" t="s">
        <v>175</v>
      </c>
      <c r="K100" s="31">
        <v>4009</v>
      </c>
      <c r="L100" s="34" t="s">
        <v>173</v>
      </c>
      <c r="M100" s="31" t="s">
        <v>174</v>
      </c>
      <c r="N100" s="31">
        <v>371055</v>
      </c>
      <c r="O100" s="34">
        <v>10781343</v>
      </c>
      <c r="P100" s="57">
        <v>1</v>
      </c>
      <c r="Q100" s="57" t="s">
        <v>26</v>
      </c>
      <c r="R100" s="58">
        <v>91.2</v>
      </c>
      <c r="S100" s="59">
        <v>91.2</v>
      </c>
    </row>
    <row r="101" spans="1:19" s="4" customFormat="1" ht="15" hidden="1" customHeight="1" x14ac:dyDescent="0.2">
      <c r="A101" s="29">
        <v>94</v>
      </c>
      <c r="B101" s="56">
        <v>45342</v>
      </c>
      <c r="C101" s="55">
        <v>45323</v>
      </c>
      <c r="D101" s="34" t="s">
        <v>27</v>
      </c>
      <c r="E101" s="34" t="s">
        <v>52</v>
      </c>
      <c r="F101" s="34"/>
      <c r="G101" s="34" t="s">
        <v>75</v>
      </c>
      <c r="H101" s="31">
        <v>1000287</v>
      </c>
      <c r="I101" s="34" t="s">
        <v>30</v>
      </c>
      <c r="J101" s="34" t="s">
        <v>172</v>
      </c>
      <c r="K101" s="31">
        <v>4009</v>
      </c>
      <c r="L101" s="34" t="s">
        <v>173</v>
      </c>
      <c r="M101" s="31" t="s">
        <v>174</v>
      </c>
      <c r="N101" s="31">
        <v>371055</v>
      </c>
      <c r="O101" s="34">
        <v>10781343</v>
      </c>
      <c r="P101" s="57">
        <v>250</v>
      </c>
      <c r="Q101" s="57" t="s">
        <v>34</v>
      </c>
      <c r="R101" s="58">
        <v>12.28</v>
      </c>
      <c r="S101" s="59">
        <v>3070</v>
      </c>
    </row>
    <row r="102" spans="1:19" s="4" customFormat="1" ht="15" hidden="1" customHeight="1" x14ac:dyDescent="0.2">
      <c r="A102" s="29">
        <v>95</v>
      </c>
      <c r="B102" s="56">
        <v>45342</v>
      </c>
      <c r="C102" s="55">
        <v>45323</v>
      </c>
      <c r="D102" s="34" t="s">
        <v>41</v>
      </c>
      <c r="E102" s="34" t="s">
        <v>52</v>
      </c>
      <c r="F102" s="34"/>
      <c r="G102" s="34" t="s">
        <v>75</v>
      </c>
      <c r="H102" s="31">
        <v>1000238</v>
      </c>
      <c r="I102" s="34" t="s">
        <v>42</v>
      </c>
      <c r="J102" s="34" t="s">
        <v>175</v>
      </c>
      <c r="K102" s="31">
        <v>4009</v>
      </c>
      <c r="L102" s="34" t="s">
        <v>173</v>
      </c>
      <c r="M102" s="31" t="s">
        <v>174</v>
      </c>
      <c r="N102" s="31">
        <v>371055</v>
      </c>
      <c r="O102" s="34">
        <v>10781343</v>
      </c>
      <c r="P102" s="57">
        <v>1</v>
      </c>
      <c r="Q102" s="57" t="s">
        <v>26</v>
      </c>
      <c r="R102" s="58">
        <v>91.2</v>
      </c>
      <c r="S102" s="59">
        <v>91.2</v>
      </c>
    </row>
    <row r="103" spans="1:19" s="4" customFormat="1" ht="15" hidden="1" customHeight="1" x14ac:dyDescent="0.2">
      <c r="A103" s="29">
        <v>96</v>
      </c>
      <c r="B103" s="56">
        <v>45344</v>
      </c>
      <c r="C103" s="55">
        <v>45352</v>
      </c>
      <c r="D103" s="34" t="s">
        <v>27</v>
      </c>
      <c r="E103" s="34" t="s">
        <v>19</v>
      </c>
      <c r="F103" s="34"/>
      <c r="G103" s="34" t="s">
        <v>75</v>
      </c>
      <c r="H103" s="31">
        <v>1000287</v>
      </c>
      <c r="I103" s="34" t="s">
        <v>30</v>
      </c>
      <c r="J103" s="34" t="s">
        <v>185</v>
      </c>
      <c r="K103" s="31">
        <v>4039</v>
      </c>
      <c r="L103" s="34" t="s">
        <v>186</v>
      </c>
      <c r="M103" s="31">
        <v>2410</v>
      </c>
      <c r="N103" s="31">
        <v>371075</v>
      </c>
      <c r="O103" s="34">
        <v>10781343</v>
      </c>
      <c r="P103" s="57">
        <v>161</v>
      </c>
      <c r="Q103" s="57" t="s">
        <v>34</v>
      </c>
      <c r="R103" s="58">
        <v>12.28</v>
      </c>
      <c r="S103" s="59">
        <v>1977.08</v>
      </c>
    </row>
    <row r="104" spans="1:19" s="4" customFormat="1" ht="15" hidden="1" customHeight="1" x14ac:dyDescent="0.2">
      <c r="A104" s="29">
        <v>97</v>
      </c>
      <c r="B104" s="56">
        <v>45344</v>
      </c>
      <c r="C104" s="55">
        <v>45352</v>
      </c>
      <c r="D104" s="34" t="s">
        <v>41</v>
      </c>
      <c r="E104" s="34" t="s">
        <v>19</v>
      </c>
      <c r="F104" s="34"/>
      <c r="G104" s="34" t="s">
        <v>75</v>
      </c>
      <c r="H104" s="31">
        <v>1000238</v>
      </c>
      <c r="I104" s="34" t="s">
        <v>42</v>
      </c>
      <c r="J104" s="34" t="s">
        <v>187</v>
      </c>
      <c r="K104" s="31">
        <v>4039</v>
      </c>
      <c r="L104" s="34" t="s">
        <v>186</v>
      </c>
      <c r="M104" s="31">
        <v>2410</v>
      </c>
      <c r="N104" s="31">
        <v>371075</v>
      </c>
      <c r="O104" s="34">
        <v>10781343</v>
      </c>
      <c r="P104" s="57">
        <v>1</v>
      </c>
      <c r="Q104" s="57" t="s">
        <v>26</v>
      </c>
      <c r="R104" s="58">
        <v>92.4</v>
      </c>
      <c r="S104" s="59">
        <v>92.4</v>
      </c>
    </row>
    <row r="105" spans="1:19" s="4" customFormat="1" ht="15" hidden="1" customHeight="1" x14ac:dyDescent="0.2">
      <c r="A105" s="29">
        <v>98</v>
      </c>
      <c r="B105" s="56">
        <v>45344</v>
      </c>
      <c r="C105" s="55">
        <v>45352</v>
      </c>
      <c r="D105" s="34" t="s">
        <v>27</v>
      </c>
      <c r="E105" s="34" t="s">
        <v>19</v>
      </c>
      <c r="F105" s="34"/>
      <c r="G105" s="34" t="s">
        <v>75</v>
      </c>
      <c r="H105" s="31">
        <v>1000287</v>
      </c>
      <c r="I105" s="34" t="s">
        <v>30</v>
      </c>
      <c r="J105" s="34" t="s">
        <v>188</v>
      </c>
      <c r="K105" s="31">
        <v>4039</v>
      </c>
      <c r="L105" s="34" t="s">
        <v>186</v>
      </c>
      <c r="M105" s="31">
        <v>2410</v>
      </c>
      <c r="N105" s="31">
        <v>371075</v>
      </c>
      <c r="O105" s="34">
        <v>10781343</v>
      </c>
      <c r="P105" s="57">
        <v>224</v>
      </c>
      <c r="Q105" s="57" t="s">
        <v>34</v>
      </c>
      <c r="R105" s="58">
        <v>12.28</v>
      </c>
      <c r="S105" s="59">
        <v>2750.72</v>
      </c>
    </row>
    <row r="106" spans="1:19" s="4" customFormat="1" ht="15" hidden="1" customHeight="1" x14ac:dyDescent="0.2">
      <c r="A106" s="29">
        <v>99</v>
      </c>
      <c r="B106" s="56">
        <v>45344</v>
      </c>
      <c r="C106" s="55">
        <v>45352</v>
      </c>
      <c r="D106" s="34" t="s">
        <v>41</v>
      </c>
      <c r="E106" s="34" t="s">
        <v>19</v>
      </c>
      <c r="F106" s="34"/>
      <c r="G106" s="34" t="s">
        <v>75</v>
      </c>
      <c r="H106" s="31">
        <v>1000238</v>
      </c>
      <c r="I106" s="34" t="s">
        <v>42</v>
      </c>
      <c r="J106" s="34" t="s">
        <v>189</v>
      </c>
      <c r="K106" s="31">
        <v>4039</v>
      </c>
      <c r="L106" s="34" t="s">
        <v>186</v>
      </c>
      <c r="M106" s="31">
        <v>2410</v>
      </c>
      <c r="N106" s="31">
        <v>371075</v>
      </c>
      <c r="O106" s="34">
        <v>10781343</v>
      </c>
      <c r="P106" s="57">
        <v>1</v>
      </c>
      <c r="Q106" s="57" t="s">
        <v>26</v>
      </c>
      <c r="R106" s="58">
        <v>45.6</v>
      </c>
      <c r="S106" s="59">
        <v>45.6</v>
      </c>
    </row>
    <row r="107" spans="1:19" s="4" customFormat="1" ht="15" hidden="1" customHeight="1" x14ac:dyDescent="0.2">
      <c r="A107" s="29">
        <v>100</v>
      </c>
      <c r="B107" s="56">
        <v>45345</v>
      </c>
      <c r="C107" s="55">
        <v>45352</v>
      </c>
      <c r="D107" s="34" t="s">
        <v>27</v>
      </c>
      <c r="E107" s="34" t="s">
        <v>19</v>
      </c>
      <c r="F107" s="34"/>
      <c r="G107" s="34" t="s">
        <v>75</v>
      </c>
      <c r="H107" s="31">
        <v>1000287</v>
      </c>
      <c r="I107" s="34" t="s">
        <v>30</v>
      </c>
      <c r="J107" s="34" t="s">
        <v>190</v>
      </c>
      <c r="K107" s="31">
        <v>4050</v>
      </c>
      <c r="L107" s="34" t="s">
        <v>191</v>
      </c>
      <c r="M107" s="31" t="s">
        <v>192</v>
      </c>
      <c r="N107" s="31">
        <v>371075</v>
      </c>
      <c r="O107" s="34">
        <v>10781343</v>
      </c>
      <c r="P107" s="57">
        <v>360</v>
      </c>
      <c r="Q107" s="57" t="s">
        <v>34</v>
      </c>
      <c r="R107" s="58">
        <v>12.28</v>
      </c>
      <c r="S107" s="59">
        <v>4420.8</v>
      </c>
    </row>
    <row r="108" spans="1:19" s="4" customFormat="1" ht="15" hidden="1" customHeight="1" x14ac:dyDescent="0.2">
      <c r="A108" s="29">
        <v>101</v>
      </c>
      <c r="B108" s="56">
        <v>45345</v>
      </c>
      <c r="C108" s="55">
        <v>45352</v>
      </c>
      <c r="D108" s="34" t="s">
        <v>41</v>
      </c>
      <c r="E108" s="34" t="s">
        <v>19</v>
      </c>
      <c r="F108" s="34"/>
      <c r="G108" s="34" t="s">
        <v>75</v>
      </c>
      <c r="H108" s="31">
        <v>1000238</v>
      </c>
      <c r="I108" s="34" t="s">
        <v>42</v>
      </c>
      <c r="J108" s="34" t="s">
        <v>193</v>
      </c>
      <c r="K108" s="31">
        <v>4050</v>
      </c>
      <c r="L108" s="34" t="s">
        <v>191</v>
      </c>
      <c r="M108" s="31" t="s">
        <v>192</v>
      </c>
      <c r="N108" s="31">
        <v>371075</v>
      </c>
      <c r="O108" s="34">
        <v>10781343</v>
      </c>
      <c r="P108" s="57">
        <v>1</v>
      </c>
      <c r="Q108" s="57" t="s">
        <v>26</v>
      </c>
      <c r="R108" s="58">
        <v>225.6</v>
      </c>
      <c r="S108" s="59">
        <v>225.6</v>
      </c>
    </row>
    <row r="109" spans="1:19" s="4" customFormat="1" ht="15" hidden="1" customHeight="1" x14ac:dyDescent="0.2">
      <c r="A109" s="29">
        <v>102</v>
      </c>
      <c r="B109" s="56">
        <v>45346</v>
      </c>
      <c r="C109" s="55">
        <v>45352</v>
      </c>
      <c r="D109" s="34" t="s">
        <v>27</v>
      </c>
      <c r="E109" s="34" t="s">
        <v>19</v>
      </c>
      <c r="F109" s="34"/>
      <c r="G109" s="34" t="s">
        <v>75</v>
      </c>
      <c r="H109" s="31">
        <v>1000287</v>
      </c>
      <c r="I109" s="34" t="s">
        <v>30</v>
      </c>
      <c r="J109" s="34" t="s">
        <v>194</v>
      </c>
      <c r="K109" s="31">
        <v>4001</v>
      </c>
      <c r="L109" s="34" t="s">
        <v>154</v>
      </c>
      <c r="M109" s="31" t="s">
        <v>155</v>
      </c>
      <c r="N109" s="31">
        <v>371075</v>
      </c>
      <c r="O109" s="34">
        <v>10781343</v>
      </c>
      <c r="P109" s="57">
        <v>337</v>
      </c>
      <c r="Q109" s="57" t="s">
        <v>34</v>
      </c>
      <c r="R109" s="58">
        <v>12.28</v>
      </c>
      <c r="S109" s="59">
        <v>4138.3599999999997</v>
      </c>
    </row>
    <row r="110" spans="1:19" s="4" customFormat="1" ht="15" hidden="1" customHeight="1" x14ac:dyDescent="0.2">
      <c r="A110" s="29">
        <v>103</v>
      </c>
      <c r="B110" s="56">
        <v>45346</v>
      </c>
      <c r="C110" s="55">
        <v>45352</v>
      </c>
      <c r="D110" s="34" t="s">
        <v>41</v>
      </c>
      <c r="E110" s="34" t="s">
        <v>19</v>
      </c>
      <c r="F110" s="34"/>
      <c r="G110" s="34" t="s">
        <v>75</v>
      </c>
      <c r="H110" s="31">
        <v>1000238</v>
      </c>
      <c r="I110" s="34" t="s">
        <v>42</v>
      </c>
      <c r="J110" s="34" t="s">
        <v>195</v>
      </c>
      <c r="K110" s="31">
        <v>4001</v>
      </c>
      <c r="L110" s="34" t="s">
        <v>154</v>
      </c>
      <c r="M110" s="31" t="s">
        <v>155</v>
      </c>
      <c r="N110" s="31">
        <v>371075</v>
      </c>
      <c r="O110" s="34">
        <v>10781343</v>
      </c>
      <c r="P110" s="57">
        <v>1</v>
      </c>
      <c r="Q110" s="57" t="s">
        <v>26</v>
      </c>
      <c r="R110" s="58">
        <v>262.2</v>
      </c>
      <c r="S110" s="59">
        <v>262.2</v>
      </c>
    </row>
    <row r="111" spans="1:19" s="4" customFormat="1" ht="15" hidden="1" customHeight="1" x14ac:dyDescent="0.2">
      <c r="A111" s="29">
        <v>104</v>
      </c>
      <c r="B111" s="56">
        <v>45346</v>
      </c>
      <c r="C111" s="55">
        <v>45352</v>
      </c>
      <c r="D111" s="34" t="s">
        <v>27</v>
      </c>
      <c r="E111" s="34" t="s">
        <v>383</v>
      </c>
      <c r="F111" s="34"/>
      <c r="G111" s="34" t="s">
        <v>75</v>
      </c>
      <c r="H111" s="31">
        <v>1000287</v>
      </c>
      <c r="I111" s="34" t="s">
        <v>30</v>
      </c>
      <c r="J111" s="34" t="s">
        <v>194</v>
      </c>
      <c r="K111" s="31">
        <v>4001</v>
      </c>
      <c r="L111" s="34" t="s">
        <v>154</v>
      </c>
      <c r="M111" s="31" t="s">
        <v>155</v>
      </c>
      <c r="N111" s="31">
        <v>371065</v>
      </c>
      <c r="O111" s="34">
        <v>10781343</v>
      </c>
      <c r="P111" s="57">
        <v>322</v>
      </c>
      <c r="Q111" s="57" t="s">
        <v>34</v>
      </c>
      <c r="R111" s="58">
        <v>12.28</v>
      </c>
      <c r="S111" s="59">
        <v>3954.16</v>
      </c>
    </row>
    <row r="112" spans="1:19" s="4" customFormat="1" ht="15" hidden="1" customHeight="1" x14ac:dyDescent="0.2">
      <c r="A112" s="29">
        <v>105</v>
      </c>
      <c r="B112" s="56">
        <v>45346</v>
      </c>
      <c r="C112" s="55">
        <v>45352</v>
      </c>
      <c r="D112" s="34" t="s">
        <v>41</v>
      </c>
      <c r="E112" s="34" t="s">
        <v>383</v>
      </c>
      <c r="F112" s="34"/>
      <c r="G112" s="34" t="s">
        <v>75</v>
      </c>
      <c r="H112" s="31">
        <v>1000238</v>
      </c>
      <c r="I112" s="34" t="s">
        <v>42</v>
      </c>
      <c r="J112" s="34" t="s">
        <v>195</v>
      </c>
      <c r="K112" s="31">
        <v>4001</v>
      </c>
      <c r="L112" s="34" t="s">
        <v>154</v>
      </c>
      <c r="M112" s="31" t="s">
        <v>155</v>
      </c>
      <c r="N112" s="31">
        <v>371065</v>
      </c>
      <c r="O112" s="34">
        <v>10781343</v>
      </c>
      <c r="P112" s="57">
        <v>1</v>
      </c>
      <c r="Q112" s="57" t="s">
        <v>26</v>
      </c>
      <c r="R112" s="58">
        <v>259.43</v>
      </c>
      <c r="S112" s="59">
        <v>259.43</v>
      </c>
    </row>
    <row r="113" spans="1:19" s="4" customFormat="1" ht="15" hidden="1" customHeight="1" x14ac:dyDescent="0.2">
      <c r="A113" s="29">
        <v>106</v>
      </c>
      <c r="B113" s="56">
        <v>45349</v>
      </c>
      <c r="C113" s="55">
        <v>45352</v>
      </c>
      <c r="D113" s="34" t="s">
        <v>27</v>
      </c>
      <c r="E113" s="34" t="s">
        <v>383</v>
      </c>
      <c r="F113" s="34"/>
      <c r="G113" s="34" t="s">
        <v>75</v>
      </c>
      <c r="H113" s="31">
        <v>1000287</v>
      </c>
      <c r="I113" s="34" t="s">
        <v>30</v>
      </c>
      <c r="J113" s="34" t="s">
        <v>198</v>
      </c>
      <c r="K113" s="31">
        <v>4048</v>
      </c>
      <c r="L113" s="34" t="s">
        <v>77</v>
      </c>
      <c r="M113" s="31" t="s">
        <v>151</v>
      </c>
      <c r="N113" s="31">
        <v>371065</v>
      </c>
      <c r="O113" s="34">
        <v>10781343</v>
      </c>
      <c r="P113" s="57">
        <v>313</v>
      </c>
      <c r="Q113" s="57" t="s">
        <v>34</v>
      </c>
      <c r="R113" s="58">
        <v>12.28</v>
      </c>
      <c r="S113" s="59">
        <v>3843.64</v>
      </c>
    </row>
    <row r="114" spans="1:19" s="4" customFormat="1" ht="15" hidden="1" customHeight="1" x14ac:dyDescent="0.2">
      <c r="A114" s="29">
        <v>107</v>
      </c>
      <c r="B114" s="56">
        <v>45349</v>
      </c>
      <c r="C114" s="55">
        <v>45352</v>
      </c>
      <c r="D114" s="34" t="s">
        <v>41</v>
      </c>
      <c r="E114" s="34" t="s">
        <v>383</v>
      </c>
      <c r="F114" s="34"/>
      <c r="G114" s="34" t="s">
        <v>75</v>
      </c>
      <c r="H114" s="31">
        <v>1000238</v>
      </c>
      <c r="I114" s="34" t="s">
        <v>42</v>
      </c>
      <c r="J114" s="34" t="s">
        <v>199</v>
      </c>
      <c r="K114" s="31">
        <v>4048</v>
      </c>
      <c r="L114" s="34" t="s">
        <v>77</v>
      </c>
      <c r="M114" s="31" t="s">
        <v>151</v>
      </c>
      <c r="N114" s="31">
        <v>371065</v>
      </c>
      <c r="O114" s="34">
        <v>10781343</v>
      </c>
      <c r="P114" s="57">
        <v>1</v>
      </c>
      <c r="Q114" s="57" t="s">
        <v>26</v>
      </c>
      <c r="R114" s="58">
        <v>296.63</v>
      </c>
      <c r="S114" s="59">
        <v>296.63</v>
      </c>
    </row>
    <row r="115" spans="1:19" s="4" customFormat="1" ht="15" hidden="1" customHeight="1" x14ac:dyDescent="0.2">
      <c r="A115" s="29">
        <v>108</v>
      </c>
      <c r="B115" s="56">
        <v>45350</v>
      </c>
      <c r="C115" s="55">
        <v>45352</v>
      </c>
      <c r="D115" s="34" t="s">
        <v>27</v>
      </c>
      <c r="E115" s="34" t="s">
        <v>52</v>
      </c>
      <c r="F115" s="34"/>
      <c r="G115" s="34" t="s">
        <v>75</v>
      </c>
      <c r="H115" s="31">
        <v>1000287</v>
      </c>
      <c r="I115" s="34" t="s">
        <v>30</v>
      </c>
      <c r="J115" s="34" t="s">
        <v>200</v>
      </c>
      <c r="K115" s="31">
        <v>4050</v>
      </c>
      <c r="L115" s="34" t="s">
        <v>191</v>
      </c>
      <c r="M115" s="31" t="s">
        <v>192</v>
      </c>
      <c r="N115" s="31">
        <v>371055</v>
      </c>
      <c r="O115" s="34">
        <v>10781343</v>
      </c>
      <c r="P115" s="57">
        <v>374</v>
      </c>
      <c r="Q115" s="57" t="s">
        <v>34</v>
      </c>
      <c r="R115" s="58">
        <v>12.28</v>
      </c>
      <c r="S115" s="59">
        <v>4592.7199999999993</v>
      </c>
    </row>
    <row r="116" spans="1:19" s="4" customFormat="1" ht="15" hidden="1" customHeight="1" x14ac:dyDescent="0.2">
      <c r="A116" s="29">
        <v>109</v>
      </c>
      <c r="B116" s="56">
        <v>45350</v>
      </c>
      <c r="C116" s="55">
        <v>45352</v>
      </c>
      <c r="D116" s="34" t="s">
        <v>41</v>
      </c>
      <c r="E116" s="34" t="s">
        <v>52</v>
      </c>
      <c r="F116" s="34"/>
      <c r="G116" s="34" t="s">
        <v>75</v>
      </c>
      <c r="H116" s="31">
        <v>1000238</v>
      </c>
      <c r="I116" s="34" t="s">
        <v>42</v>
      </c>
      <c r="J116" s="34" t="s">
        <v>201</v>
      </c>
      <c r="K116" s="31">
        <v>4050</v>
      </c>
      <c r="L116" s="34" t="s">
        <v>191</v>
      </c>
      <c r="M116" s="31" t="s">
        <v>192</v>
      </c>
      <c r="N116" s="31">
        <v>371055</v>
      </c>
      <c r="O116" s="34">
        <v>10781343</v>
      </c>
      <c r="P116" s="57">
        <v>1</v>
      </c>
      <c r="Q116" s="57" t="s">
        <v>26</v>
      </c>
      <c r="R116" s="58">
        <v>272.39999999999998</v>
      </c>
      <c r="S116" s="59">
        <v>272.39999999999998</v>
      </c>
    </row>
    <row r="117" spans="1:19" s="4" customFormat="1" ht="15" hidden="1" customHeight="1" x14ac:dyDescent="0.2">
      <c r="A117" s="29">
        <v>110</v>
      </c>
      <c r="B117" s="56">
        <v>45350</v>
      </c>
      <c r="C117" s="55">
        <v>45352</v>
      </c>
      <c r="D117" s="34" t="s">
        <v>27</v>
      </c>
      <c r="E117" s="34" t="s">
        <v>52</v>
      </c>
      <c r="F117" s="34"/>
      <c r="G117" s="34" t="s">
        <v>75</v>
      </c>
      <c r="H117" s="31">
        <v>1000287</v>
      </c>
      <c r="I117" s="34" t="s">
        <v>30</v>
      </c>
      <c r="J117" s="34" t="s">
        <v>200</v>
      </c>
      <c r="K117" s="31">
        <v>4050</v>
      </c>
      <c r="L117" s="34" t="s">
        <v>191</v>
      </c>
      <c r="M117" s="31" t="s">
        <v>192</v>
      </c>
      <c r="N117" s="31">
        <v>371055</v>
      </c>
      <c r="O117" s="34">
        <v>10781343</v>
      </c>
      <c r="P117" s="57">
        <v>366</v>
      </c>
      <c r="Q117" s="57" t="s">
        <v>34</v>
      </c>
      <c r="R117" s="58">
        <v>12.28</v>
      </c>
      <c r="S117" s="59">
        <v>4494.4799999999996</v>
      </c>
    </row>
    <row r="118" spans="1:19" s="4" customFormat="1" ht="15" hidden="1" customHeight="1" x14ac:dyDescent="0.2">
      <c r="A118" s="29">
        <v>111</v>
      </c>
      <c r="B118" s="56">
        <v>45350</v>
      </c>
      <c r="C118" s="55">
        <v>45352</v>
      </c>
      <c r="D118" s="34" t="s">
        <v>41</v>
      </c>
      <c r="E118" s="34" t="s">
        <v>52</v>
      </c>
      <c r="F118" s="34"/>
      <c r="G118" s="34" t="s">
        <v>75</v>
      </c>
      <c r="H118" s="31">
        <v>1000238</v>
      </c>
      <c r="I118" s="34" t="s">
        <v>42</v>
      </c>
      <c r="J118" s="34" t="s">
        <v>201</v>
      </c>
      <c r="K118" s="31">
        <v>4050</v>
      </c>
      <c r="L118" s="34" t="s">
        <v>191</v>
      </c>
      <c r="M118" s="31" t="s">
        <v>192</v>
      </c>
      <c r="N118" s="31">
        <v>371055</v>
      </c>
      <c r="O118" s="34">
        <v>10781343</v>
      </c>
      <c r="P118" s="57">
        <v>1</v>
      </c>
      <c r="Q118" s="57" t="s">
        <v>26</v>
      </c>
      <c r="R118" s="58">
        <v>272.39999999999998</v>
      </c>
      <c r="S118" s="59">
        <v>272.39999999999998</v>
      </c>
    </row>
    <row r="119" spans="1:19" s="4" customFormat="1" ht="15" hidden="1" customHeight="1" x14ac:dyDescent="0.2">
      <c r="A119" s="29">
        <v>112</v>
      </c>
      <c r="B119" s="56">
        <v>45351</v>
      </c>
      <c r="C119" s="55">
        <v>45352</v>
      </c>
      <c r="D119" s="34" t="s">
        <v>27</v>
      </c>
      <c r="E119" s="34" t="s">
        <v>383</v>
      </c>
      <c r="F119" s="34"/>
      <c r="G119" s="34" t="s">
        <v>75</v>
      </c>
      <c r="H119" s="31">
        <v>1000287</v>
      </c>
      <c r="I119" s="34" t="s">
        <v>30</v>
      </c>
      <c r="J119" s="34" t="s">
        <v>205</v>
      </c>
      <c r="K119" s="31">
        <v>4067</v>
      </c>
      <c r="L119" s="34" t="s">
        <v>67</v>
      </c>
      <c r="M119" s="31" t="s">
        <v>68</v>
      </c>
      <c r="N119" s="31">
        <v>371065</v>
      </c>
      <c r="O119" s="34">
        <v>10781343</v>
      </c>
      <c r="P119" s="57">
        <v>181</v>
      </c>
      <c r="Q119" s="57" t="s">
        <v>34</v>
      </c>
      <c r="R119" s="58">
        <v>12.28</v>
      </c>
      <c r="S119" s="59">
        <v>2222.6799999999998</v>
      </c>
    </row>
    <row r="120" spans="1:19" s="4" customFormat="1" ht="15" hidden="1" customHeight="1" x14ac:dyDescent="0.2">
      <c r="A120" s="29">
        <v>113</v>
      </c>
      <c r="B120" s="56">
        <v>45351</v>
      </c>
      <c r="C120" s="55">
        <v>45352</v>
      </c>
      <c r="D120" s="34" t="s">
        <v>41</v>
      </c>
      <c r="E120" s="34" t="s">
        <v>383</v>
      </c>
      <c r="F120" s="34"/>
      <c r="G120" s="34" t="s">
        <v>75</v>
      </c>
      <c r="H120" s="31">
        <v>1000238</v>
      </c>
      <c r="I120" s="34" t="s">
        <v>42</v>
      </c>
      <c r="J120" s="34" t="s">
        <v>206</v>
      </c>
      <c r="K120" s="31">
        <v>4067</v>
      </c>
      <c r="L120" s="34" t="s">
        <v>67</v>
      </c>
      <c r="M120" s="31" t="s">
        <v>68</v>
      </c>
      <c r="N120" s="31">
        <v>371065</v>
      </c>
      <c r="O120" s="34">
        <v>10781343</v>
      </c>
      <c r="P120" s="57">
        <v>1</v>
      </c>
      <c r="Q120" s="57" t="s">
        <v>26</v>
      </c>
      <c r="R120" s="58">
        <v>165.09</v>
      </c>
      <c r="S120" s="59">
        <v>165.09</v>
      </c>
    </row>
    <row r="121" spans="1:19" s="4" customFormat="1" ht="15" hidden="1" customHeight="1" x14ac:dyDescent="0.2">
      <c r="A121" s="29">
        <v>114</v>
      </c>
      <c r="B121" s="56">
        <v>45351</v>
      </c>
      <c r="C121" s="55">
        <v>45352</v>
      </c>
      <c r="D121" s="34" t="s">
        <v>27</v>
      </c>
      <c r="E121" s="34" t="s">
        <v>383</v>
      </c>
      <c r="F121" s="34"/>
      <c r="G121" s="34" t="s">
        <v>75</v>
      </c>
      <c r="H121" s="31">
        <v>1000287</v>
      </c>
      <c r="I121" s="34" t="s">
        <v>30</v>
      </c>
      <c r="J121" s="34" t="s">
        <v>207</v>
      </c>
      <c r="K121" s="31">
        <v>4048</v>
      </c>
      <c r="L121" s="34" t="s">
        <v>77</v>
      </c>
      <c r="M121" s="31" t="s">
        <v>208</v>
      </c>
      <c r="N121" s="31">
        <v>371065</v>
      </c>
      <c r="O121" s="34">
        <v>10781343</v>
      </c>
      <c r="P121" s="57">
        <v>122</v>
      </c>
      <c r="Q121" s="57" t="s">
        <v>34</v>
      </c>
      <c r="R121" s="58">
        <v>12.28</v>
      </c>
      <c r="S121" s="59">
        <v>1498.1599999999999</v>
      </c>
    </row>
    <row r="122" spans="1:19" s="4" customFormat="1" ht="15" hidden="1" customHeight="1" x14ac:dyDescent="0.2">
      <c r="A122" s="29">
        <v>115</v>
      </c>
      <c r="B122" s="56">
        <v>45351</v>
      </c>
      <c r="C122" s="55">
        <v>45352</v>
      </c>
      <c r="D122" s="34" t="s">
        <v>41</v>
      </c>
      <c r="E122" s="34" t="s">
        <v>383</v>
      </c>
      <c r="F122" s="34"/>
      <c r="G122" s="34" t="s">
        <v>75</v>
      </c>
      <c r="H122" s="31">
        <v>1000238</v>
      </c>
      <c r="I122" s="34" t="s">
        <v>42</v>
      </c>
      <c r="J122" s="34" t="s">
        <v>209</v>
      </c>
      <c r="K122" s="31">
        <v>4048</v>
      </c>
      <c r="L122" s="34" t="s">
        <v>77</v>
      </c>
      <c r="M122" s="31" t="s">
        <v>208</v>
      </c>
      <c r="N122" s="31">
        <v>371065</v>
      </c>
      <c r="O122" s="34">
        <v>10781343</v>
      </c>
      <c r="P122" s="57">
        <v>1</v>
      </c>
      <c r="Q122" s="57" t="s">
        <v>26</v>
      </c>
      <c r="R122" s="58">
        <v>86.63</v>
      </c>
      <c r="S122" s="59">
        <v>86.63</v>
      </c>
    </row>
    <row r="123" spans="1:19" s="4" customFormat="1" ht="15" hidden="1" customHeight="1" x14ac:dyDescent="0.2">
      <c r="A123" s="29">
        <v>116</v>
      </c>
      <c r="B123" s="56">
        <v>45351</v>
      </c>
      <c r="C123" s="55">
        <v>45352</v>
      </c>
      <c r="D123" s="34" t="s">
        <v>27</v>
      </c>
      <c r="E123" s="34" t="s">
        <v>19</v>
      </c>
      <c r="F123" s="34"/>
      <c r="G123" s="34" t="s">
        <v>75</v>
      </c>
      <c r="H123" s="31">
        <v>1000287</v>
      </c>
      <c r="I123" s="34" t="s">
        <v>30</v>
      </c>
      <c r="J123" s="34" t="s">
        <v>210</v>
      </c>
      <c r="K123" s="31">
        <v>4050</v>
      </c>
      <c r="L123" s="34" t="s">
        <v>191</v>
      </c>
      <c r="M123" s="31" t="s">
        <v>192</v>
      </c>
      <c r="N123" s="31">
        <v>371075</v>
      </c>
      <c r="O123" s="34">
        <v>10781343</v>
      </c>
      <c r="P123" s="57">
        <v>411</v>
      </c>
      <c r="Q123" s="57" t="s">
        <v>34</v>
      </c>
      <c r="R123" s="58">
        <v>12.28</v>
      </c>
      <c r="S123" s="59">
        <v>5047.08</v>
      </c>
    </row>
    <row r="124" spans="1:19" s="4" customFormat="1" ht="15" hidden="1" customHeight="1" x14ac:dyDescent="0.2">
      <c r="A124" s="29">
        <v>117</v>
      </c>
      <c r="B124" s="56">
        <v>45351</v>
      </c>
      <c r="C124" s="55">
        <v>45352</v>
      </c>
      <c r="D124" s="34" t="s">
        <v>41</v>
      </c>
      <c r="E124" s="34" t="s">
        <v>19</v>
      </c>
      <c r="F124" s="34"/>
      <c r="G124" s="34" t="s">
        <v>75</v>
      </c>
      <c r="H124" s="31">
        <v>1000238</v>
      </c>
      <c r="I124" s="34" t="s">
        <v>42</v>
      </c>
      <c r="J124" s="34" t="s">
        <v>211</v>
      </c>
      <c r="K124" s="31">
        <v>4050</v>
      </c>
      <c r="L124" s="34" t="s">
        <v>191</v>
      </c>
      <c r="M124" s="31" t="s">
        <v>192</v>
      </c>
      <c r="N124" s="31">
        <v>371075</v>
      </c>
      <c r="O124" s="34">
        <v>10781343</v>
      </c>
      <c r="P124" s="57">
        <v>1</v>
      </c>
      <c r="Q124" s="57" t="s">
        <v>26</v>
      </c>
      <c r="R124" s="58">
        <v>272.39999999999998</v>
      </c>
      <c r="S124" s="59">
        <v>272.39999999999998</v>
      </c>
    </row>
    <row r="125" spans="1:19" s="4" customFormat="1" ht="15" hidden="1" customHeight="1" x14ac:dyDescent="0.2">
      <c r="A125" s="29">
        <v>118</v>
      </c>
      <c r="B125" s="56">
        <v>45351</v>
      </c>
      <c r="C125" s="55">
        <v>45352</v>
      </c>
      <c r="D125" s="34" t="s">
        <v>27</v>
      </c>
      <c r="E125" s="34" t="s">
        <v>19</v>
      </c>
      <c r="F125" s="34"/>
      <c r="G125" s="34" t="s">
        <v>75</v>
      </c>
      <c r="H125" s="31">
        <v>1000287</v>
      </c>
      <c r="I125" s="34" t="s">
        <v>30</v>
      </c>
      <c r="J125" s="34" t="s">
        <v>210</v>
      </c>
      <c r="K125" s="31">
        <v>4050</v>
      </c>
      <c r="L125" s="34" t="s">
        <v>191</v>
      </c>
      <c r="M125" s="31" t="s">
        <v>192</v>
      </c>
      <c r="N125" s="31">
        <v>371075</v>
      </c>
      <c r="O125" s="34">
        <v>10781343</v>
      </c>
      <c r="P125" s="57">
        <v>407</v>
      </c>
      <c r="Q125" s="57" t="s">
        <v>34</v>
      </c>
      <c r="R125" s="58">
        <v>12.28</v>
      </c>
      <c r="S125" s="59">
        <v>4997.96</v>
      </c>
    </row>
    <row r="126" spans="1:19" s="4" customFormat="1" ht="15" hidden="1" customHeight="1" x14ac:dyDescent="0.2">
      <c r="A126" s="29">
        <v>119</v>
      </c>
      <c r="B126" s="56">
        <v>45351</v>
      </c>
      <c r="C126" s="55">
        <v>45352</v>
      </c>
      <c r="D126" s="34" t="s">
        <v>41</v>
      </c>
      <c r="E126" s="34" t="s">
        <v>19</v>
      </c>
      <c r="F126" s="34"/>
      <c r="G126" s="34" t="s">
        <v>75</v>
      </c>
      <c r="H126" s="31">
        <v>1000238</v>
      </c>
      <c r="I126" s="34" t="s">
        <v>42</v>
      </c>
      <c r="J126" s="34" t="s">
        <v>211</v>
      </c>
      <c r="K126" s="31">
        <v>4050</v>
      </c>
      <c r="L126" s="34" t="s">
        <v>191</v>
      </c>
      <c r="M126" s="31" t="s">
        <v>192</v>
      </c>
      <c r="N126" s="31">
        <v>371075</v>
      </c>
      <c r="O126" s="34">
        <v>10781343</v>
      </c>
      <c r="P126" s="57">
        <v>1</v>
      </c>
      <c r="Q126" s="57" t="s">
        <v>26</v>
      </c>
      <c r="R126" s="58">
        <v>272.39999999999998</v>
      </c>
      <c r="S126" s="59">
        <v>272.39999999999998</v>
      </c>
    </row>
    <row r="127" spans="1:19" s="4" customFormat="1" ht="15" hidden="1" customHeight="1" x14ac:dyDescent="0.2">
      <c r="A127" s="29">
        <v>120</v>
      </c>
      <c r="B127" s="56">
        <v>45342</v>
      </c>
      <c r="C127" s="55">
        <v>45323</v>
      </c>
      <c r="D127" s="34" t="s">
        <v>27</v>
      </c>
      <c r="E127" s="34" t="s">
        <v>74</v>
      </c>
      <c r="F127" s="34"/>
      <c r="G127" s="34" t="s">
        <v>29</v>
      </c>
      <c r="H127" s="31">
        <v>1000287</v>
      </c>
      <c r="I127" s="34" t="s">
        <v>30</v>
      </c>
      <c r="J127" s="34" t="s">
        <v>176</v>
      </c>
      <c r="K127" s="31">
        <v>4002</v>
      </c>
      <c r="L127" s="34" t="s">
        <v>164</v>
      </c>
      <c r="M127" s="31" t="s">
        <v>177</v>
      </c>
      <c r="N127" s="31">
        <v>371045</v>
      </c>
      <c r="O127" s="34">
        <v>10781585</v>
      </c>
      <c r="P127" s="57">
        <v>201.1</v>
      </c>
      <c r="Q127" s="57" t="s">
        <v>34</v>
      </c>
      <c r="R127" s="58">
        <v>13.69</v>
      </c>
      <c r="S127" s="59">
        <v>2753.0589999999997</v>
      </c>
    </row>
    <row r="128" spans="1:19" s="4" customFormat="1" ht="15" hidden="1" customHeight="1" x14ac:dyDescent="0.2">
      <c r="A128" s="29">
        <v>121</v>
      </c>
      <c r="B128" s="56">
        <v>45342</v>
      </c>
      <c r="C128" s="55">
        <v>45323</v>
      </c>
      <c r="D128" s="34" t="s">
        <v>41</v>
      </c>
      <c r="E128" s="34" t="s">
        <v>74</v>
      </c>
      <c r="F128" s="34"/>
      <c r="G128" s="34" t="s">
        <v>29</v>
      </c>
      <c r="H128" s="31">
        <v>1000238</v>
      </c>
      <c r="I128" s="34" t="s">
        <v>42</v>
      </c>
      <c r="J128" s="34" t="s">
        <v>178</v>
      </c>
      <c r="K128" s="31">
        <v>4002</v>
      </c>
      <c r="L128" s="34" t="s">
        <v>164</v>
      </c>
      <c r="M128" s="31" t="s">
        <v>177</v>
      </c>
      <c r="N128" s="31">
        <v>371045</v>
      </c>
      <c r="O128" s="34">
        <v>10781585</v>
      </c>
      <c r="P128" s="57">
        <v>1</v>
      </c>
      <c r="Q128" s="57" t="s">
        <v>26</v>
      </c>
      <c r="R128" s="58">
        <v>237.3</v>
      </c>
      <c r="S128" s="59">
        <v>237.3</v>
      </c>
    </row>
    <row r="129" spans="1:19" s="4" customFormat="1" ht="15" hidden="1" customHeight="1" x14ac:dyDescent="0.2">
      <c r="A129" s="29">
        <v>122</v>
      </c>
      <c r="B129" s="56">
        <v>45342</v>
      </c>
      <c r="C129" s="55">
        <v>45323</v>
      </c>
      <c r="D129" s="34" t="s">
        <v>179</v>
      </c>
      <c r="E129" s="34" t="s">
        <v>74</v>
      </c>
      <c r="F129" s="34"/>
      <c r="G129" s="34" t="s">
        <v>29</v>
      </c>
      <c r="H129" s="31">
        <v>1000274</v>
      </c>
      <c r="I129" s="34" t="s">
        <v>180</v>
      </c>
      <c r="J129" s="34" t="s">
        <v>181</v>
      </c>
      <c r="K129" s="31">
        <v>4002</v>
      </c>
      <c r="L129" s="34" t="s">
        <v>164</v>
      </c>
      <c r="M129" s="31" t="s">
        <v>177</v>
      </c>
      <c r="N129" s="31">
        <v>371045</v>
      </c>
      <c r="O129" s="34">
        <v>10781585</v>
      </c>
      <c r="P129" s="57">
        <v>3.5</v>
      </c>
      <c r="Q129" s="57" t="s">
        <v>111</v>
      </c>
      <c r="R129" s="58">
        <v>321.8</v>
      </c>
      <c r="S129" s="59">
        <v>1126.3</v>
      </c>
    </row>
    <row r="130" spans="1:19" s="4" customFormat="1" ht="15" hidden="1" customHeight="1" x14ac:dyDescent="0.2">
      <c r="A130" s="29">
        <v>123</v>
      </c>
      <c r="B130" s="56">
        <v>45342</v>
      </c>
      <c r="C130" s="55">
        <v>45323</v>
      </c>
      <c r="D130" s="34" t="s">
        <v>35</v>
      </c>
      <c r="E130" s="34" t="s">
        <v>74</v>
      </c>
      <c r="F130" s="34"/>
      <c r="G130" s="34" t="s">
        <v>29</v>
      </c>
      <c r="H130" s="31">
        <v>1000287</v>
      </c>
      <c r="I130" s="34" t="s">
        <v>30</v>
      </c>
      <c r="J130" s="34" t="s">
        <v>182</v>
      </c>
      <c r="K130" s="31">
        <v>4002</v>
      </c>
      <c r="L130" s="34" t="s">
        <v>164</v>
      </c>
      <c r="M130" s="31" t="s">
        <v>177</v>
      </c>
      <c r="N130" s="31">
        <v>371045</v>
      </c>
      <c r="O130" s="34">
        <v>10781585</v>
      </c>
      <c r="P130" s="57">
        <v>250</v>
      </c>
      <c r="Q130" s="57" t="s">
        <v>34</v>
      </c>
      <c r="R130" s="58">
        <v>13.69</v>
      </c>
      <c r="S130" s="59">
        <v>3422.5</v>
      </c>
    </row>
    <row r="131" spans="1:19" s="4" customFormat="1" ht="15" hidden="1" customHeight="1" x14ac:dyDescent="0.2">
      <c r="A131" s="29">
        <v>124</v>
      </c>
      <c r="B131" s="56">
        <v>45343</v>
      </c>
      <c r="C131" s="55">
        <v>45352</v>
      </c>
      <c r="D131" s="34" t="s">
        <v>27</v>
      </c>
      <c r="E131" s="34" t="s">
        <v>383</v>
      </c>
      <c r="F131" s="34"/>
      <c r="G131" s="34" t="s">
        <v>29</v>
      </c>
      <c r="H131" s="31">
        <v>1000287</v>
      </c>
      <c r="I131" s="34" t="s">
        <v>30</v>
      </c>
      <c r="J131" s="34" t="s">
        <v>183</v>
      </c>
      <c r="K131" s="31">
        <v>4016</v>
      </c>
      <c r="L131" s="34" t="s">
        <v>63</v>
      </c>
      <c r="M131" s="31" t="s">
        <v>170</v>
      </c>
      <c r="N131" s="31">
        <v>371065</v>
      </c>
      <c r="O131" s="34">
        <v>10781585</v>
      </c>
      <c r="P131" s="57">
        <v>656</v>
      </c>
      <c r="Q131" s="57" t="s">
        <v>34</v>
      </c>
      <c r="R131" s="58">
        <v>13.69</v>
      </c>
      <c r="S131" s="59">
        <v>8980.64</v>
      </c>
    </row>
    <row r="132" spans="1:19" s="4" customFormat="1" ht="15" hidden="1" customHeight="1" x14ac:dyDescent="0.2">
      <c r="A132" s="29">
        <v>125</v>
      </c>
      <c r="B132" s="56">
        <v>45343</v>
      </c>
      <c r="C132" s="55">
        <v>45352</v>
      </c>
      <c r="D132" s="34" t="s">
        <v>41</v>
      </c>
      <c r="E132" s="34" t="s">
        <v>383</v>
      </c>
      <c r="F132" s="34"/>
      <c r="G132" s="34" t="s">
        <v>29</v>
      </c>
      <c r="H132" s="31">
        <v>1000238</v>
      </c>
      <c r="I132" s="34" t="s">
        <v>42</v>
      </c>
      <c r="J132" s="34" t="s">
        <v>184</v>
      </c>
      <c r="K132" s="31">
        <v>4016</v>
      </c>
      <c r="L132" s="34" t="s">
        <v>63</v>
      </c>
      <c r="M132" s="31" t="s">
        <v>170</v>
      </c>
      <c r="N132" s="31">
        <v>371065</v>
      </c>
      <c r="O132" s="34">
        <v>10781585</v>
      </c>
      <c r="P132" s="57">
        <v>1</v>
      </c>
      <c r="Q132" s="57" t="s">
        <v>26</v>
      </c>
      <c r="R132" s="58">
        <v>466.2</v>
      </c>
      <c r="S132" s="59">
        <v>466.2</v>
      </c>
    </row>
    <row r="133" spans="1:19" s="4" customFormat="1" ht="15" hidden="1" customHeight="1" x14ac:dyDescent="0.2">
      <c r="A133" s="29">
        <v>126</v>
      </c>
      <c r="B133" s="56">
        <v>45346</v>
      </c>
      <c r="C133" s="55">
        <v>45352</v>
      </c>
      <c r="D133" s="34" t="s">
        <v>27</v>
      </c>
      <c r="E133" s="34" t="s">
        <v>383</v>
      </c>
      <c r="F133" s="34"/>
      <c r="G133" s="34" t="s">
        <v>29</v>
      </c>
      <c r="H133" s="31">
        <v>1000287</v>
      </c>
      <c r="I133" s="34" t="s">
        <v>30</v>
      </c>
      <c r="J133" s="34" t="s">
        <v>196</v>
      </c>
      <c r="K133" s="31">
        <v>4001</v>
      </c>
      <c r="L133" s="34" t="s">
        <v>154</v>
      </c>
      <c r="M133" s="31" t="s">
        <v>155</v>
      </c>
      <c r="N133" s="31">
        <v>371065</v>
      </c>
      <c r="O133" s="34">
        <v>10781585</v>
      </c>
      <c r="P133" s="57">
        <v>613</v>
      </c>
      <c r="Q133" s="57" t="s">
        <v>34</v>
      </c>
      <c r="R133" s="58">
        <v>13.69</v>
      </c>
      <c r="S133" s="59">
        <v>8391.9699999999993</v>
      </c>
    </row>
    <row r="134" spans="1:19" s="4" customFormat="1" ht="15" hidden="1" customHeight="1" x14ac:dyDescent="0.2">
      <c r="A134" s="29">
        <v>127</v>
      </c>
      <c r="B134" s="56">
        <v>45346</v>
      </c>
      <c r="C134" s="55">
        <v>45352</v>
      </c>
      <c r="D134" s="34" t="s">
        <v>41</v>
      </c>
      <c r="E134" s="34" t="s">
        <v>383</v>
      </c>
      <c r="F134" s="34"/>
      <c r="G134" s="34" t="s">
        <v>29</v>
      </c>
      <c r="H134" s="31">
        <v>1000238</v>
      </c>
      <c r="I134" s="34" t="s">
        <v>42</v>
      </c>
      <c r="J134" s="34" t="s">
        <v>197</v>
      </c>
      <c r="K134" s="31">
        <v>4001</v>
      </c>
      <c r="L134" s="34" t="s">
        <v>154</v>
      </c>
      <c r="M134" s="31" t="s">
        <v>155</v>
      </c>
      <c r="N134" s="31">
        <v>371065</v>
      </c>
      <c r="O134" s="34">
        <v>10781585</v>
      </c>
      <c r="P134" s="57">
        <v>1</v>
      </c>
      <c r="Q134" s="57" t="s">
        <v>26</v>
      </c>
      <c r="R134" s="58">
        <v>325.3</v>
      </c>
      <c r="S134" s="59">
        <v>325.3</v>
      </c>
    </row>
    <row r="135" spans="1:19" s="4" customFormat="1" ht="15" hidden="1" customHeight="1" x14ac:dyDescent="0.2">
      <c r="A135" s="29">
        <v>128</v>
      </c>
      <c r="B135" s="56">
        <v>45350</v>
      </c>
      <c r="C135" s="55">
        <v>45352</v>
      </c>
      <c r="D135" s="34" t="s">
        <v>27</v>
      </c>
      <c r="E135" s="34" t="s">
        <v>19</v>
      </c>
      <c r="F135" s="34"/>
      <c r="G135" s="34" t="s">
        <v>29</v>
      </c>
      <c r="H135" s="31">
        <v>1000287</v>
      </c>
      <c r="I135" s="34" t="s">
        <v>30</v>
      </c>
      <c r="J135" s="34" t="s">
        <v>202</v>
      </c>
      <c r="K135" s="31">
        <v>4050</v>
      </c>
      <c r="L135" s="34" t="s">
        <v>191</v>
      </c>
      <c r="M135" s="31" t="s">
        <v>192</v>
      </c>
      <c r="N135" s="31">
        <v>371055</v>
      </c>
      <c r="O135" s="34">
        <v>10781585</v>
      </c>
      <c r="P135" s="57">
        <v>694.8</v>
      </c>
      <c r="Q135" s="57" t="s">
        <v>34</v>
      </c>
      <c r="R135" s="58">
        <v>13.69</v>
      </c>
      <c r="S135" s="59">
        <v>9511.8119999999999</v>
      </c>
    </row>
    <row r="136" spans="1:19" s="4" customFormat="1" ht="15" hidden="1" customHeight="1" x14ac:dyDescent="0.2">
      <c r="A136" s="29">
        <v>129</v>
      </c>
      <c r="B136" s="56">
        <v>45350</v>
      </c>
      <c r="C136" s="55">
        <v>45352</v>
      </c>
      <c r="D136" s="34" t="s">
        <v>41</v>
      </c>
      <c r="E136" s="34" t="s">
        <v>19</v>
      </c>
      <c r="F136" s="34"/>
      <c r="G136" s="34" t="s">
        <v>29</v>
      </c>
      <c r="H136" s="31">
        <v>1000238</v>
      </c>
      <c r="I136" s="34" t="s">
        <v>42</v>
      </c>
      <c r="J136" s="34" t="s">
        <v>203</v>
      </c>
      <c r="K136" s="31">
        <v>4050</v>
      </c>
      <c r="L136" s="34" t="s">
        <v>191</v>
      </c>
      <c r="M136" s="31" t="s">
        <v>192</v>
      </c>
      <c r="N136" s="31">
        <v>371055</v>
      </c>
      <c r="O136" s="34">
        <v>10781585</v>
      </c>
      <c r="P136" s="57">
        <v>1</v>
      </c>
      <c r="Q136" s="57" t="s">
        <v>26</v>
      </c>
      <c r="R136" s="58">
        <v>491.4</v>
      </c>
      <c r="S136" s="59">
        <v>491.4</v>
      </c>
    </row>
    <row r="137" spans="1:19" s="4" customFormat="1" ht="15" hidden="1" customHeight="1" x14ac:dyDescent="0.2">
      <c r="A137" s="29">
        <v>130</v>
      </c>
      <c r="B137" s="56">
        <v>45350</v>
      </c>
      <c r="C137" s="55">
        <v>45352</v>
      </c>
      <c r="D137" s="34" t="s">
        <v>35</v>
      </c>
      <c r="E137" s="34" t="s">
        <v>19</v>
      </c>
      <c r="F137" s="34"/>
      <c r="G137" s="34" t="s">
        <v>29</v>
      </c>
      <c r="H137" s="31">
        <v>1000287</v>
      </c>
      <c r="I137" s="34" t="s">
        <v>30</v>
      </c>
      <c r="J137" s="34" t="s">
        <v>204</v>
      </c>
      <c r="K137" s="31">
        <v>4050</v>
      </c>
      <c r="L137" s="34" t="s">
        <v>191</v>
      </c>
      <c r="M137" s="31" t="s">
        <v>192</v>
      </c>
      <c r="N137" s="31">
        <v>371055</v>
      </c>
      <c r="O137" s="34">
        <v>10781585</v>
      </c>
      <c r="P137" s="57">
        <v>500</v>
      </c>
      <c r="Q137" s="57" t="s">
        <v>34</v>
      </c>
      <c r="R137" s="58">
        <v>13.69</v>
      </c>
      <c r="S137" s="59">
        <v>6845</v>
      </c>
    </row>
    <row r="138" spans="1:19" s="4" customFormat="1" ht="15" hidden="1" customHeight="1" x14ac:dyDescent="0.2">
      <c r="A138" s="29">
        <v>131</v>
      </c>
      <c r="B138" s="56">
        <v>45351</v>
      </c>
      <c r="C138" s="55">
        <v>45352</v>
      </c>
      <c r="D138" s="34" t="s">
        <v>27</v>
      </c>
      <c r="E138" s="34" t="s">
        <v>383</v>
      </c>
      <c r="F138" s="34"/>
      <c r="G138" s="34" t="s">
        <v>29</v>
      </c>
      <c r="H138" s="31">
        <v>1000287</v>
      </c>
      <c r="I138" s="34" t="s">
        <v>30</v>
      </c>
      <c r="J138" s="34" t="s">
        <v>212</v>
      </c>
      <c r="K138" s="31">
        <v>4067</v>
      </c>
      <c r="L138" s="34" t="s">
        <v>67</v>
      </c>
      <c r="M138" s="31" t="s">
        <v>68</v>
      </c>
      <c r="N138" s="31">
        <v>371065</v>
      </c>
      <c r="O138" s="34">
        <v>10781585</v>
      </c>
      <c r="P138" s="57">
        <v>568.70000000000005</v>
      </c>
      <c r="Q138" s="57" t="s">
        <v>34</v>
      </c>
      <c r="R138" s="58">
        <v>13.69</v>
      </c>
      <c r="S138" s="59">
        <v>7785.5030000000006</v>
      </c>
    </row>
    <row r="139" spans="1:19" s="4" customFormat="1" ht="15" hidden="1" customHeight="1" x14ac:dyDescent="0.2">
      <c r="A139" s="29">
        <v>132</v>
      </c>
      <c r="B139" s="56">
        <v>45351</v>
      </c>
      <c r="C139" s="55">
        <v>45352</v>
      </c>
      <c r="D139" s="34" t="s">
        <v>41</v>
      </c>
      <c r="E139" s="34" t="s">
        <v>383</v>
      </c>
      <c r="F139" s="34"/>
      <c r="G139" s="34" t="s">
        <v>29</v>
      </c>
      <c r="H139" s="31">
        <v>1000238</v>
      </c>
      <c r="I139" s="34" t="s">
        <v>42</v>
      </c>
      <c r="J139" s="34" t="s">
        <v>213</v>
      </c>
      <c r="K139" s="31">
        <v>4067</v>
      </c>
      <c r="L139" s="34" t="s">
        <v>67</v>
      </c>
      <c r="M139" s="31" t="s">
        <v>68</v>
      </c>
      <c r="N139" s="31">
        <v>371065</v>
      </c>
      <c r="O139" s="34">
        <v>10781585</v>
      </c>
      <c r="P139" s="57">
        <v>1</v>
      </c>
      <c r="Q139" s="57" t="s">
        <v>26</v>
      </c>
      <c r="R139" s="58">
        <v>464.1</v>
      </c>
      <c r="S139" s="59">
        <v>464.1</v>
      </c>
    </row>
    <row r="140" spans="1:19" s="4" customFormat="1" ht="15" hidden="1" customHeight="1" x14ac:dyDescent="0.2">
      <c r="A140" s="29">
        <v>133</v>
      </c>
      <c r="B140" s="56">
        <v>45351</v>
      </c>
      <c r="C140" s="55">
        <v>45352</v>
      </c>
      <c r="D140" s="34" t="s">
        <v>35</v>
      </c>
      <c r="E140" s="34" t="s">
        <v>383</v>
      </c>
      <c r="F140" s="34"/>
      <c r="G140" s="34" t="s">
        <v>29</v>
      </c>
      <c r="H140" s="31">
        <v>1000287</v>
      </c>
      <c r="I140" s="34" t="s">
        <v>30</v>
      </c>
      <c r="J140" s="34" t="s">
        <v>214</v>
      </c>
      <c r="K140" s="31">
        <v>4067</v>
      </c>
      <c r="L140" s="34" t="s">
        <v>67</v>
      </c>
      <c r="M140" s="31" t="s">
        <v>68</v>
      </c>
      <c r="N140" s="31">
        <v>371065</v>
      </c>
      <c r="O140" s="34">
        <v>10781585</v>
      </c>
      <c r="P140" s="57">
        <v>500</v>
      </c>
      <c r="Q140" s="57" t="s">
        <v>34</v>
      </c>
      <c r="R140" s="58">
        <v>13.69</v>
      </c>
      <c r="S140" s="59">
        <v>6845</v>
      </c>
    </row>
    <row r="141" spans="1:19" s="4" customFormat="1" ht="15" hidden="1" customHeight="1" x14ac:dyDescent="0.2">
      <c r="A141" s="29">
        <v>134</v>
      </c>
      <c r="B141" s="56">
        <v>45351</v>
      </c>
      <c r="C141" s="55">
        <v>45352</v>
      </c>
      <c r="D141" s="34" t="s">
        <v>27</v>
      </c>
      <c r="E141" s="34" t="s">
        <v>19</v>
      </c>
      <c r="F141" s="34"/>
      <c r="G141" s="34" t="s">
        <v>29</v>
      </c>
      <c r="H141" s="31">
        <v>1000287</v>
      </c>
      <c r="I141" s="34" t="s">
        <v>30</v>
      </c>
      <c r="J141" s="34" t="s">
        <v>215</v>
      </c>
      <c r="K141" s="31">
        <v>4039</v>
      </c>
      <c r="L141" s="34" t="s">
        <v>186</v>
      </c>
      <c r="M141" s="31" t="s">
        <v>216</v>
      </c>
      <c r="N141" s="31">
        <v>371075</v>
      </c>
      <c r="O141" s="34">
        <v>10781585</v>
      </c>
      <c r="P141" s="57">
        <v>173</v>
      </c>
      <c r="Q141" s="57" t="s">
        <v>34</v>
      </c>
      <c r="R141" s="58">
        <v>13.69</v>
      </c>
      <c r="S141" s="59">
        <v>2368.37</v>
      </c>
    </row>
    <row r="142" spans="1:19" s="4" customFormat="1" ht="15" hidden="1" customHeight="1" x14ac:dyDescent="0.2">
      <c r="A142" s="29">
        <v>135</v>
      </c>
      <c r="B142" s="56">
        <v>45351</v>
      </c>
      <c r="C142" s="55">
        <v>45352</v>
      </c>
      <c r="D142" s="34" t="s">
        <v>41</v>
      </c>
      <c r="E142" s="34" t="s">
        <v>19</v>
      </c>
      <c r="F142" s="34"/>
      <c r="G142" s="34" t="s">
        <v>29</v>
      </c>
      <c r="H142" s="31">
        <v>1000238</v>
      </c>
      <c r="I142" s="34" t="s">
        <v>42</v>
      </c>
      <c r="J142" s="34" t="s">
        <v>217</v>
      </c>
      <c r="K142" s="31">
        <v>4039</v>
      </c>
      <c r="L142" s="34" t="s">
        <v>186</v>
      </c>
      <c r="M142" s="31" t="s">
        <v>216</v>
      </c>
      <c r="N142" s="31">
        <v>371075</v>
      </c>
      <c r="O142" s="34">
        <v>10781585</v>
      </c>
      <c r="P142" s="57">
        <v>1</v>
      </c>
      <c r="Q142" s="57" t="s">
        <v>26</v>
      </c>
      <c r="R142" s="58">
        <v>76</v>
      </c>
      <c r="S142" s="59">
        <v>76</v>
      </c>
    </row>
    <row r="143" spans="1:19" s="4" customFormat="1" ht="15" hidden="1" customHeight="1" x14ac:dyDescent="0.2">
      <c r="A143" s="29">
        <v>136</v>
      </c>
      <c r="B143" s="56">
        <v>45351</v>
      </c>
      <c r="C143" s="55">
        <v>45352</v>
      </c>
      <c r="D143" s="34" t="s">
        <v>27</v>
      </c>
      <c r="E143" s="34" t="s">
        <v>19</v>
      </c>
      <c r="F143" s="34"/>
      <c r="G143" s="34" t="s">
        <v>29</v>
      </c>
      <c r="H143" s="31">
        <v>1000287</v>
      </c>
      <c r="I143" s="34" t="s">
        <v>30</v>
      </c>
      <c r="J143" s="34" t="s">
        <v>218</v>
      </c>
      <c r="K143" s="31">
        <v>4050</v>
      </c>
      <c r="L143" s="34" t="s">
        <v>191</v>
      </c>
      <c r="M143" s="31" t="s">
        <v>192</v>
      </c>
      <c r="N143" s="31">
        <v>371075</v>
      </c>
      <c r="O143" s="34">
        <v>10781585</v>
      </c>
      <c r="P143" s="57">
        <v>238</v>
      </c>
      <c r="Q143" s="57" t="s">
        <v>34</v>
      </c>
      <c r="R143" s="58">
        <v>13.69</v>
      </c>
      <c r="S143" s="59">
        <v>3258.22</v>
      </c>
    </row>
    <row r="144" spans="1:19" s="4" customFormat="1" ht="15" hidden="1" customHeight="1" x14ac:dyDescent="0.2">
      <c r="A144" s="29">
        <v>137</v>
      </c>
      <c r="B144" s="56">
        <v>45351</v>
      </c>
      <c r="C144" s="55">
        <v>45352</v>
      </c>
      <c r="D144" s="34" t="s">
        <v>41</v>
      </c>
      <c r="E144" s="34" t="s">
        <v>19</v>
      </c>
      <c r="F144" s="34"/>
      <c r="G144" s="34" t="s">
        <v>29</v>
      </c>
      <c r="H144" s="31">
        <v>1000238</v>
      </c>
      <c r="I144" s="34" t="s">
        <v>42</v>
      </c>
      <c r="J144" s="34" t="s">
        <v>219</v>
      </c>
      <c r="K144" s="31">
        <v>4050</v>
      </c>
      <c r="L144" s="34" t="s">
        <v>191</v>
      </c>
      <c r="M144" s="31" t="s">
        <v>192</v>
      </c>
      <c r="N144" s="31">
        <v>371075</v>
      </c>
      <c r="O144" s="34">
        <v>10781585</v>
      </c>
      <c r="P144" s="57">
        <v>1</v>
      </c>
      <c r="Q144" s="57" t="s">
        <v>26</v>
      </c>
      <c r="R144" s="58">
        <v>181.2</v>
      </c>
      <c r="S144" s="59">
        <v>181.2</v>
      </c>
    </row>
    <row r="145" spans="1:19" s="4" customFormat="1" ht="15" hidden="1" customHeight="1" x14ac:dyDescent="0.2">
      <c r="A145" s="29">
        <v>138</v>
      </c>
      <c r="B145" s="56">
        <v>45354</v>
      </c>
      <c r="C145" s="55">
        <v>45352</v>
      </c>
      <c r="D145" s="34" t="s">
        <v>27</v>
      </c>
      <c r="E145" s="34" t="s">
        <v>52</v>
      </c>
      <c r="F145" s="34"/>
      <c r="G145" s="34" t="s">
        <v>29</v>
      </c>
      <c r="H145" s="31">
        <v>1000287</v>
      </c>
      <c r="I145" s="34" t="s">
        <v>30</v>
      </c>
      <c r="J145" s="34" t="s">
        <v>223</v>
      </c>
      <c r="K145" s="31">
        <v>4071</v>
      </c>
      <c r="L145" s="34" t="s">
        <v>144</v>
      </c>
      <c r="M145" s="31" t="s">
        <v>145</v>
      </c>
      <c r="N145" s="31">
        <v>371055</v>
      </c>
      <c r="O145" s="34">
        <v>10783519</v>
      </c>
      <c r="P145" s="57">
        <v>751.3</v>
      </c>
      <c r="Q145" s="57" t="s">
        <v>34</v>
      </c>
      <c r="R145" s="58">
        <v>13.69</v>
      </c>
      <c r="S145" s="59">
        <v>10285.296999999999</v>
      </c>
    </row>
    <row r="146" spans="1:19" s="4" customFormat="1" ht="15" hidden="1" customHeight="1" x14ac:dyDescent="0.2">
      <c r="A146" s="29">
        <v>139</v>
      </c>
      <c r="B146" s="56">
        <v>45354</v>
      </c>
      <c r="C146" s="55">
        <v>45352</v>
      </c>
      <c r="D146" s="34" t="s">
        <v>41</v>
      </c>
      <c r="E146" s="34" t="s">
        <v>52</v>
      </c>
      <c r="F146" s="34"/>
      <c r="G146" s="34" t="s">
        <v>29</v>
      </c>
      <c r="H146" s="31">
        <v>1000238</v>
      </c>
      <c r="I146" s="34" t="s">
        <v>42</v>
      </c>
      <c r="J146" s="34" t="s">
        <v>224</v>
      </c>
      <c r="K146" s="31">
        <v>4071</v>
      </c>
      <c r="L146" s="34" t="s">
        <v>144</v>
      </c>
      <c r="M146" s="31" t="s">
        <v>145</v>
      </c>
      <c r="N146" s="31">
        <v>371055</v>
      </c>
      <c r="O146" s="34">
        <v>10783519</v>
      </c>
      <c r="P146" s="57">
        <v>1</v>
      </c>
      <c r="Q146" s="57" t="s">
        <v>26</v>
      </c>
      <c r="R146" s="58">
        <v>589.77</v>
      </c>
      <c r="S146" s="59">
        <v>589.77</v>
      </c>
    </row>
    <row r="147" spans="1:19" s="4" customFormat="1" ht="15" hidden="1" customHeight="1" x14ac:dyDescent="0.2">
      <c r="A147" s="29">
        <v>140</v>
      </c>
      <c r="B147" s="56">
        <v>45356</v>
      </c>
      <c r="C147" s="55">
        <v>45352</v>
      </c>
      <c r="D147" s="34" t="s">
        <v>27</v>
      </c>
      <c r="E147" s="34" t="s">
        <v>52</v>
      </c>
      <c r="F147" s="34"/>
      <c r="G147" s="34" t="s">
        <v>29</v>
      </c>
      <c r="H147" s="31">
        <v>1000287</v>
      </c>
      <c r="I147" s="34" t="s">
        <v>30</v>
      </c>
      <c r="J147" s="34" t="s">
        <v>230</v>
      </c>
      <c r="K147" s="31">
        <v>4071</v>
      </c>
      <c r="L147" s="34" t="s">
        <v>144</v>
      </c>
      <c r="M147" s="31" t="s">
        <v>145</v>
      </c>
      <c r="N147" s="31">
        <v>371055</v>
      </c>
      <c r="O147" s="34">
        <v>10783519</v>
      </c>
      <c r="P147" s="57">
        <v>227</v>
      </c>
      <c r="Q147" s="57" t="s">
        <v>34</v>
      </c>
      <c r="R147" s="58">
        <v>13.69</v>
      </c>
      <c r="S147" s="59">
        <v>3107.63</v>
      </c>
    </row>
    <row r="148" spans="1:19" s="4" customFormat="1" ht="15" hidden="1" customHeight="1" x14ac:dyDescent="0.2">
      <c r="A148" s="29">
        <v>141</v>
      </c>
      <c r="B148" s="56">
        <v>45356</v>
      </c>
      <c r="C148" s="55">
        <v>45352</v>
      </c>
      <c r="D148" s="34" t="s">
        <v>41</v>
      </c>
      <c r="E148" s="34" t="s">
        <v>52</v>
      </c>
      <c r="F148" s="34"/>
      <c r="G148" s="34" t="s">
        <v>29</v>
      </c>
      <c r="H148" s="31">
        <v>1000238</v>
      </c>
      <c r="I148" s="34" t="s">
        <v>42</v>
      </c>
      <c r="J148" s="34" t="s">
        <v>231</v>
      </c>
      <c r="K148" s="31">
        <v>4071</v>
      </c>
      <c r="L148" s="34" t="s">
        <v>144</v>
      </c>
      <c r="M148" s="31" t="s">
        <v>145</v>
      </c>
      <c r="N148" s="31">
        <v>371055</v>
      </c>
      <c r="O148" s="34">
        <v>10783519</v>
      </c>
      <c r="P148" s="57">
        <v>1</v>
      </c>
      <c r="Q148" s="57" t="s">
        <v>26</v>
      </c>
      <c r="R148" s="58">
        <v>202.8</v>
      </c>
      <c r="S148" s="59">
        <v>202.8</v>
      </c>
    </row>
    <row r="149" spans="1:19" s="4" customFormat="1" ht="15" hidden="1" customHeight="1" x14ac:dyDescent="0.2">
      <c r="A149" s="29">
        <v>142</v>
      </c>
      <c r="B149" s="56">
        <v>45356</v>
      </c>
      <c r="C149" s="55">
        <v>45352</v>
      </c>
      <c r="D149" s="34" t="s">
        <v>27</v>
      </c>
      <c r="E149" s="34" t="s">
        <v>52</v>
      </c>
      <c r="F149" s="34"/>
      <c r="G149" s="34" t="s">
        <v>29</v>
      </c>
      <c r="H149" s="31">
        <v>1000287</v>
      </c>
      <c r="I149" s="34" t="s">
        <v>30</v>
      </c>
      <c r="J149" s="34" t="s">
        <v>232</v>
      </c>
      <c r="K149" s="31">
        <v>4050</v>
      </c>
      <c r="L149" s="34" t="s">
        <v>191</v>
      </c>
      <c r="M149" s="31" t="s">
        <v>192</v>
      </c>
      <c r="N149" s="31">
        <v>371055</v>
      </c>
      <c r="O149" s="34">
        <v>10783519</v>
      </c>
      <c r="P149" s="57">
        <v>365.3</v>
      </c>
      <c r="Q149" s="57" t="s">
        <v>34</v>
      </c>
      <c r="R149" s="58">
        <v>13.69</v>
      </c>
      <c r="S149" s="59">
        <v>5000.9570000000003</v>
      </c>
    </row>
    <row r="150" spans="1:19" s="4" customFormat="1" ht="15" hidden="1" customHeight="1" x14ac:dyDescent="0.2">
      <c r="A150" s="29">
        <v>143</v>
      </c>
      <c r="B150" s="56">
        <v>45356</v>
      </c>
      <c r="C150" s="55">
        <v>45352</v>
      </c>
      <c r="D150" s="34" t="s">
        <v>41</v>
      </c>
      <c r="E150" s="34" t="s">
        <v>52</v>
      </c>
      <c r="F150" s="34"/>
      <c r="G150" s="34" t="s">
        <v>29</v>
      </c>
      <c r="H150" s="31">
        <v>1000238</v>
      </c>
      <c r="I150" s="34" t="s">
        <v>42</v>
      </c>
      <c r="J150" s="34" t="s">
        <v>233</v>
      </c>
      <c r="K150" s="31">
        <v>4050</v>
      </c>
      <c r="L150" s="34" t="s">
        <v>191</v>
      </c>
      <c r="M150" s="31" t="s">
        <v>192</v>
      </c>
      <c r="N150" s="31">
        <v>371055</v>
      </c>
      <c r="O150" s="34">
        <v>10783519</v>
      </c>
      <c r="P150" s="57">
        <v>1</v>
      </c>
      <c r="Q150" s="57" t="s">
        <v>26</v>
      </c>
      <c r="R150" s="58">
        <v>221.9</v>
      </c>
      <c r="S150" s="59">
        <v>221.9</v>
      </c>
    </row>
    <row r="151" spans="1:19" s="4" customFormat="1" ht="15" hidden="1" customHeight="1" x14ac:dyDescent="0.2">
      <c r="A151" s="29">
        <v>144</v>
      </c>
      <c r="B151" s="56">
        <v>45356</v>
      </c>
      <c r="C151" s="55">
        <v>45352</v>
      </c>
      <c r="D151" s="34" t="s">
        <v>35</v>
      </c>
      <c r="E151" s="34" t="s">
        <v>52</v>
      </c>
      <c r="F151" s="34"/>
      <c r="G151" s="34" t="s">
        <v>29</v>
      </c>
      <c r="H151" s="31">
        <v>1000287</v>
      </c>
      <c r="I151" s="34" t="s">
        <v>30</v>
      </c>
      <c r="J151" s="34" t="s">
        <v>234</v>
      </c>
      <c r="K151" s="31">
        <v>4050</v>
      </c>
      <c r="L151" s="34" t="s">
        <v>191</v>
      </c>
      <c r="M151" s="31" t="s">
        <v>192</v>
      </c>
      <c r="N151" s="31">
        <v>371055</v>
      </c>
      <c r="O151" s="34">
        <v>10783519</v>
      </c>
      <c r="P151" s="57">
        <v>250</v>
      </c>
      <c r="Q151" s="57" t="s">
        <v>34</v>
      </c>
      <c r="R151" s="58">
        <v>13.69</v>
      </c>
      <c r="S151" s="59">
        <v>3422.5</v>
      </c>
    </row>
    <row r="152" spans="1:19" s="4" customFormat="1" ht="15" hidden="1" customHeight="1" x14ac:dyDescent="0.2">
      <c r="A152" s="29">
        <v>145</v>
      </c>
      <c r="B152" s="56">
        <v>45357</v>
      </c>
      <c r="C152" s="55">
        <v>45352</v>
      </c>
      <c r="D152" s="34" t="s">
        <v>27</v>
      </c>
      <c r="E152" s="34" t="s">
        <v>74</v>
      </c>
      <c r="F152" s="34"/>
      <c r="G152" s="34" t="s">
        <v>29</v>
      </c>
      <c r="H152" s="31">
        <v>1000287</v>
      </c>
      <c r="I152" s="34" t="s">
        <v>30</v>
      </c>
      <c r="J152" s="34" t="s">
        <v>235</v>
      </c>
      <c r="K152" s="31">
        <v>4002</v>
      </c>
      <c r="L152" s="34" t="s">
        <v>164</v>
      </c>
      <c r="M152" s="31" t="s">
        <v>236</v>
      </c>
      <c r="N152" s="31">
        <v>371045</v>
      </c>
      <c r="O152" s="34">
        <v>10783519</v>
      </c>
      <c r="P152" s="57">
        <v>493</v>
      </c>
      <c r="Q152" s="57" t="s">
        <v>34</v>
      </c>
      <c r="R152" s="58">
        <v>13.69</v>
      </c>
      <c r="S152" s="59">
        <v>6749.17</v>
      </c>
    </row>
    <row r="153" spans="1:19" s="4" customFormat="1" ht="15" hidden="1" customHeight="1" x14ac:dyDescent="0.2">
      <c r="A153" s="29">
        <v>146</v>
      </c>
      <c r="B153" s="56">
        <v>45357</v>
      </c>
      <c r="C153" s="55">
        <v>45352</v>
      </c>
      <c r="D153" s="34" t="s">
        <v>41</v>
      </c>
      <c r="E153" s="34" t="s">
        <v>74</v>
      </c>
      <c r="F153" s="34"/>
      <c r="G153" s="34" t="s">
        <v>29</v>
      </c>
      <c r="H153" s="31">
        <v>1000238</v>
      </c>
      <c r="I153" s="34" t="s">
        <v>42</v>
      </c>
      <c r="J153" s="34" t="s">
        <v>237</v>
      </c>
      <c r="K153" s="31">
        <v>4002</v>
      </c>
      <c r="L153" s="34" t="s">
        <v>164</v>
      </c>
      <c r="M153" s="31" t="s">
        <v>236</v>
      </c>
      <c r="N153" s="31">
        <v>371045</v>
      </c>
      <c r="O153" s="34">
        <v>10783519</v>
      </c>
      <c r="P153" s="57">
        <v>1</v>
      </c>
      <c r="Q153" s="57" t="s">
        <v>26</v>
      </c>
      <c r="R153" s="58">
        <v>302.39999999999998</v>
      </c>
      <c r="S153" s="59">
        <v>302.39999999999998</v>
      </c>
    </row>
    <row r="154" spans="1:19" s="4" customFormat="1" ht="15" hidden="1" customHeight="1" x14ac:dyDescent="0.2">
      <c r="A154" s="29">
        <v>147</v>
      </c>
      <c r="B154" s="56">
        <v>45358</v>
      </c>
      <c r="C154" s="55">
        <v>45352</v>
      </c>
      <c r="D154" s="34" t="s">
        <v>27</v>
      </c>
      <c r="E154" s="34" t="s">
        <v>52</v>
      </c>
      <c r="F154" s="34"/>
      <c r="G154" s="34" t="s">
        <v>29</v>
      </c>
      <c r="H154" s="31">
        <v>1000287</v>
      </c>
      <c r="I154" s="34" t="s">
        <v>30</v>
      </c>
      <c r="J154" s="34" t="s">
        <v>240</v>
      </c>
      <c r="K154" s="31">
        <v>4031</v>
      </c>
      <c r="L154" s="34" t="s">
        <v>138</v>
      </c>
      <c r="M154" s="31" t="s">
        <v>139</v>
      </c>
      <c r="N154" s="31">
        <v>371055</v>
      </c>
      <c r="O154" s="34">
        <v>10783519</v>
      </c>
      <c r="P154" s="57">
        <v>249.1</v>
      </c>
      <c r="Q154" s="57" t="s">
        <v>34</v>
      </c>
      <c r="R154" s="58">
        <v>13.69</v>
      </c>
      <c r="S154" s="59">
        <v>3410.1789999999996</v>
      </c>
    </row>
    <row r="155" spans="1:19" s="4" customFormat="1" ht="15" hidden="1" customHeight="1" x14ac:dyDescent="0.2">
      <c r="A155" s="29">
        <v>148</v>
      </c>
      <c r="B155" s="56">
        <v>45358</v>
      </c>
      <c r="C155" s="55">
        <v>45352</v>
      </c>
      <c r="D155" s="34" t="s">
        <v>41</v>
      </c>
      <c r="E155" s="34" t="s">
        <v>52</v>
      </c>
      <c r="F155" s="34"/>
      <c r="G155" s="34" t="s">
        <v>29</v>
      </c>
      <c r="H155" s="31">
        <v>1000238</v>
      </c>
      <c r="I155" s="34" t="s">
        <v>42</v>
      </c>
      <c r="J155" s="34" t="s">
        <v>241</v>
      </c>
      <c r="K155" s="31">
        <v>4031</v>
      </c>
      <c r="L155" s="34" t="s">
        <v>138</v>
      </c>
      <c r="M155" s="31" t="s">
        <v>139</v>
      </c>
      <c r="N155" s="31">
        <v>371055</v>
      </c>
      <c r="O155" s="34">
        <v>10783519</v>
      </c>
      <c r="P155" s="57">
        <v>1</v>
      </c>
      <c r="Q155" s="57" t="s">
        <v>26</v>
      </c>
      <c r="R155" s="58">
        <v>101.4</v>
      </c>
      <c r="S155" s="59">
        <v>101.4</v>
      </c>
    </row>
    <row r="156" spans="1:19" s="4" customFormat="1" ht="15" hidden="1" customHeight="1" x14ac:dyDescent="0.2">
      <c r="A156" s="29">
        <v>149</v>
      </c>
      <c r="B156" s="56">
        <v>45358</v>
      </c>
      <c r="C156" s="55">
        <v>45352</v>
      </c>
      <c r="D156" s="34" t="s">
        <v>27</v>
      </c>
      <c r="E156" s="34" t="s">
        <v>19</v>
      </c>
      <c r="F156" s="34"/>
      <c r="G156" s="34" t="s">
        <v>29</v>
      </c>
      <c r="H156" s="31">
        <v>1000287</v>
      </c>
      <c r="I156" s="34" t="s">
        <v>30</v>
      </c>
      <c r="J156" s="34" t="s">
        <v>242</v>
      </c>
      <c r="K156" s="31">
        <v>4063</v>
      </c>
      <c r="L156" s="34" t="s">
        <v>243</v>
      </c>
      <c r="M156" s="31" t="s">
        <v>244</v>
      </c>
      <c r="N156" s="31">
        <v>371075</v>
      </c>
      <c r="O156" s="34">
        <v>10783519</v>
      </c>
      <c r="P156" s="57">
        <v>377.8</v>
      </c>
      <c r="Q156" s="57" t="s">
        <v>34</v>
      </c>
      <c r="R156" s="58">
        <v>13.69</v>
      </c>
      <c r="S156" s="59">
        <v>5172.0820000000003</v>
      </c>
    </row>
    <row r="157" spans="1:19" s="4" customFormat="1" ht="15" hidden="1" customHeight="1" x14ac:dyDescent="0.2">
      <c r="A157" s="29">
        <v>150</v>
      </c>
      <c r="B157" s="56">
        <v>45358</v>
      </c>
      <c r="C157" s="55">
        <v>45352</v>
      </c>
      <c r="D157" s="34" t="s">
        <v>41</v>
      </c>
      <c r="E157" s="34" t="s">
        <v>19</v>
      </c>
      <c r="F157" s="34"/>
      <c r="G157" s="34" t="s">
        <v>29</v>
      </c>
      <c r="H157" s="31">
        <v>1000238</v>
      </c>
      <c r="I157" s="34" t="s">
        <v>42</v>
      </c>
      <c r="J157" s="34" t="s">
        <v>245</v>
      </c>
      <c r="K157" s="31">
        <v>4063</v>
      </c>
      <c r="L157" s="34" t="s">
        <v>243</v>
      </c>
      <c r="M157" s="31" t="s">
        <v>244</v>
      </c>
      <c r="N157" s="31">
        <v>371075</v>
      </c>
      <c r="O157" s="34">
        <v>10783519</v>
      </c>
      <c r="P157" s="57">
        <v>1</v>
      </c>
      <c r="Q157" s="57" t="s">
        <v>26</v>
      </c>
      <c r="R157" s="58">
        <v>109.2</v>
      </c>
      <c r="S157" s="59">
        <v>109.2</v>
      </c>
    </row>
    <row r="158" spans="1:19" s="4" customFormat="1" ht="15" hidden="1" customHeight="1" x14ac:dyDescent="0.2">
      <c r="A158" s="29">
        <v>151</v>
      </c>
      <c r="B158" s="56">
        <v>45360</v>
      </c>
      <c r="C158" s="55">
        <v>45352</v>
      </c>
      <c r="D158" s="34" t="s">
        <v>27</v>
      </c>
      <c r="E158" s="34" t="s">
        <v>74</v>
      </c>
      <c r="F158" s="34"/>
      <c r="G158" s="34" t="s">
        <v>29</v>
      </c>
      <c r="H158" s="31">
        <v>1000287</v>
      </c>
      <c r="I158" s="34" t="s">
        <v>30</v>
      </c>
      <c r="J158" s="34" t="s">
        <v>248</v>
      </c>
      <c r="K158" s="31">
        <v>4068</v>
      </c>
      <c r="L158" s="34" t="s">
        <v>249</v>
      </c>
      <c r="M158" s="31" t="s">
        <v>250</v>
      </c>
      <c r="N158" s="31">
        <v>371045</v>
      </c>
      <c r="O158" s="34">
        <v>10783519</v>
      </c>
      <c r="P158" s="57">
        <v>257.89999999999998</v>
      </c>
      <c r="Q158" s="57" t="s">
        <v>34</v>
      </c>
      <c r="R158" s="58">
        <v>13.69</v>
      </c>
      <c r="S158" s="59">
        <v>3530.6509999999994</v>
      </c>
    </row>
    <row r="159" spans="1:19" s="4" customFormat="1" ht="15" hidden="1" customHeight="1" x14ac:dyDescent="0.2">
      <c r="A159" s="29">
        <v>152</v>
      </c>
      <c r="B159" s="56">
        <v>45360</v>
      </c>
      <c r="C159" s="55">
        <v>45352</v>
      </c>
      <c r="D159" s="34" t="s">
        <v>41</v>
      </c>
      <c r="E159" s="34" t="s">
        <v>74</v>
      </c>
      <c r="F159" s="34"/>
      <c r="G159" s="34" t="s">
        <v>29</v>
      </c>
      <c r="H159" s="31">
        <v>1000238</v>
      </c>
      <c r="I159" s="34" t="s">
        <v>42</v>
      </c>
      <c r="J159" s="34" t="s">
        <v>251</v>
      </c>
      <c r="K159" s="31">
        <v>4068</v>
      </c>
      <c r="L159" s="34" t="s">
        <v>249</v>
      </c>
      <c r="M159" s="31" t="s">
        <v>250</v>
      </c>
      <c r="N159" s="31">
        <v>371045</v>
      </c>
      <c r="O159" s="34">
        <v>10783519</v>
      </c>
      <c r="P159" s="57">
        <v>1</v>
      </c>
      <c r="Q159" s="57" t="s">
        <v>26</v>
      </c>
      <c r="R159" s="58">
        <v>184.8</v>
      </c>
      <c r="S159" s="59">
        <v>184.8</v>
      </c>
    </row>
    <row r="160" spans="1:19" s="4" customFormat="1" ht="15" hidden="1" customHeight="1" x14ac:dyDescent="0.2">
      <c r="A160" s="29">
        <v>153</v>
      </c>
      <c r="B160" s="56">
        <v>45360</v>
      </c>
      <c r="C160" s="55">
        <v>45352</v>
      </c>
      <c r="D160" s="34" t="s">
        <v>35</v>
      </c>
      <c r="E160" s="34" t="s">
        <v>74</v>
      </c>
      <c r="F160" s="34"/>
      <c r="G160" s="34" t="s">
        <v>29</v>
      </c>
      <c r="H160" s="31">
        <v>1000287</v>
      </c>
      <c r="I160" s="34" t="s">
        <v>30</v>
      </c>
      <c r="J160" s="34" t="s">
        <v>252</v>
      </c>
      <c r="K160" s="31">
        <v>4068</v>
      </c>
      <c r="L160" s="34" t="s">
        <v>249</v>
      </c>
      <c r="M160" s="31" t="s">
        <v>250</v>
      </c>
      <c r="N160" s="31">
        <v>371045</v>
      </c>
      <c r="O160" s="34">
        <v>10783519</v>
      </c>
      <c r="P160" s="57">
        <v>250</v>
      </c>
      <c r="Q160" s="57" t="s">
        <v>34</v>
      </c>
      <c r="R160" s="58">
        <v>13.69</v>
      </c>
      <c r="S160" s="59">
        <v>3422.5</v>
      </c>
    </row>
    <row r="161" spans="1:19" s="4" customFormat="1" ht="15" hidden="1" customHeight="1" x14ac:dyDescent="0.2">
      <c r="A161" s="29">
        <v>154</v>
      </c>
      <c r="B161" s="56">
        <v>45361</v>
      </c>
      <c r="C161" s="55">
        <v>45352</v>
      </c>
      <c r="D161" s="34" t="s">
        <v>27</v>
      </c>
      <c r="E161" s="34" t="s">
        <v>74</v>
      </c>
      <c r="F161" s="34"/>
      <c r="G161" s="34" t="s">
        <v>29</v>
      </c>
      <c r="H161" s="31">
        <v>1000287</v>
      </c>
      <c r="I161" s="34" t="s">
        <v>30</v>
      </c>
      <c r="J161" s="34" t="s">
        <v>248</v>
      </c>
      <c r="K161" s="31">
        <v>4068</v>
      </c>
      <c r="L161" s="34" t="s">
        <v>249</v>
      </c>
      <c r="M161" s="31" t="s">
        <v>250</v>
      </c>
      <c r="N161" s="31">
        <v>371045</v>
      </c>
      <c r="O161" s="34">
        <v>10783519</v>
      </c>
      <c r="P161" s="57">
        <v>251.5</v>
      </c>
      <c r="Q161" s="57" t="s">
        <v>34</v>
      </c>
      <c r="R161" s="58">
        <v>13.69</v>
      </c>
      <c r="S161" s="59">
        <v>3443.0349999999999</v>
      </c>
    </row>
    <row r="162" spans="1:19" s="4" customFormat="1" ht="15" hidden="1" customHeight="1" x14ac:dyDescent="0.2">
      <c r="A162" s="29">
        <v>155</v>
      </c>
      <c r="B162" s="56">
        <v>45361</v>
      </c>
      <c r="C162" s="55">
        <v>45352</v>
      </c>
      <c r="D162" s="34" t="s">
        <v>41</v>
      </c>
      <c r="E162" s="34" t="s">
        <v>74</v>
      </c>
      <c r="F162" s="34"/>
      <c r="G162" s="34" t="s">
        <v>29</v>
      </c>
      <c r="H162" s="31">
        <v>1000238</v>
      </c>
      <c r="I162" s="34" t="s">
        <v>42</v>
      </c>
      <c r="J162" s="34" t="s">
        <v>251</v>
      </c>
      <c r="K162" s="31">
        <v>4068</v>
      </c>
      <c r="L162" s="34" t="s">
        <v>249</v>
      </c>
      <c r="M162" s="31" t="s">
        <v>250</v>
      </c>
      <c r="N162" s="31">
        <v>371045</v>
      </c>
      <c r="O162" s="34">
        <v>10783519</v>
      </c>
      <c r="P162" s="57">
        <v>1</v>
      </c>
      <c r="Q162" s="57" t="s">
        <v>26</v>
      </c>
      <c r="R162" s="58">
        <v>184.8</v>
      </c>
      <c r="S162" s="59">
        <v>184.8</v>
      </c>
    </row>
    <row r="163" spans="1:19" s="4" customFormat="1" ht="15" hidden="1" customHeight="1" x14ac:dyDescent="0.2">
      <c r="A163" s="29">
        <v>156</v>
      </c>
      <c r="B163" s="56">
        <v>45353</v>
      </c>
      <c r="C163" s="55">
        <v>45352</v>
      </c>
      <c r="D163" s="34" t="s">
        <v>27</v>
      </c>
      <c r="E163" s="34" t="s">
        <v>19</v>
      </c>
      <c r="F163" s="34"/>
      <c r="G163" s="34" t="s">
        <v>75</v>
      </c>
      <c r="H163" s="31">
        <v>1000287</v>
      </c>
      <c r="I163" s="34" t="s">
        <v>30</v>
      </c>
      <c r="J163" s="34" t="s">
        <v>220</v>
      </c>
      <c r="K163" s="31">
        <v>4039</v>
      </c>
      <c r="L163" s="34" t="s">
        <v>186</v>
      </c>
      <c r="M163" s="31" t="s">
        <v>216</v>
      </c>
      <c r="N163" s="31">
        <v>371075</v>
      </c>
      <c r="O163" s="34">
        <v>10787837</v>
      </c>
      <c r="P163" s="57">
        <v>250</v>
      </c>
      <c r="Q163" s="57" t="s">
        <v>34</v>
      </c>
      <c r="R163" s="58">
        <v>12.28</v>
      </c>
      <c r="S163" s="59">
        <v>3070</v>
      </c>
    </row>
    <row r="164" spans="1:19" s="4" customFormat="1" ht="15" hidden="1" customHeight="1" x14ac:dyDescent="0.2">
      <c r="A164" s="29">
        <v>157</v>
      </c>
      <c r="B164" s="56">
        <v>45353</v>
      </c>
      <c r="C164" s="55">
        <v>45352</v>
      </c>
      <c r="D164" s="34" t="s">
        <v>41</v>
      </c>
      <c r="E164" s="34" t="s">
        <v>19</v>
      </c>
      <c r="F164" s="34"/>
      <c r="G164" s="34" t="s">
        <v>75</v>
      </c>
      <c r="H164" s="31">
        <v>1000238</v>
      </c>
      <c r="I164" s="34" t="s">
        <v>42</v>
      </c>
      <c r="J164" s="34" t="s">
        <v>221</v>
      </c>
      <c r="K164" s="31">
        <v>4039</v>
      </c>
      <c r="L164" s="34" t="s">
        <v>222</v>
      </c>
      <c r="M164" s="31">
        <v>7901</v>
      </c>
      <c r="N164" s="31">
        <v>371075</v>
      </c>
      <c r="O164" s="34">
        <v>10787837</v>
      </c>
      <c r="P164" s="57">
        <v>1</v>
      </c>
      <c r="Q164" s="57" t="s">
        <v>26</v>
      </c>
      <c r="R164" s="58">
        <v>98.8</v>
      </c>
      <c r="S164" s="59">
        <v>98.8</v>
      </c>
    </row>
    <row r="165" spans="1:19" s="4" customFormat="1" ht="15" hidden="1" customHeight="1" x14ac:dyDescent="0.2">
      <c r="A165" s="29">
        <v>158</v>
      </c>
      <c r="B165" s="56">
        <v>45354</v>
      </c>
      <c r="C165" s="55">
        <v>45352</v>
      </c>
      <c r="D165" s="34" t="s">
        <v>27</v>
      </c>
      <c r="E165" s="34" t="s">
        <v>19</v>
      </c>
      <c r="F165" s="34"/>
      <c r="G165" s="34" t="s">
        <v>75</v>
      </c>
      <c r="H165" s="31">
        <v>1000287</v>
      </c>
      <c r="I165" s="34" t="s">
        <v>30</v>
      </c>
      <c r="J165" s="34" t="s">
        <v>225</v>
      </c>
      <c r="K165" s="31">
        <v>4039</v>
      </c>
      <c r="L165" s="34" t="s">
        <v>186</v>
      </c>
      <c r="M165" s="31" t="s">
        <v>216</v>
      </c>
      <c r="N165" s="31">
        <v>371075</v>
      </c>
      <c r="O165" s="34">
        <v>10787837</v>
      </c>
      <c r="P165" s="57">
        <v>356</v>
      </c>
      <c r="Q165" s="57" t="s">
        <v>34</v>
      </c>
      <c r="R165" s="58">
        <v>12.28</v>
      </c>
      <c r="S165" s="59">
        <v>4371.6799999999994</v>
      </c>
    </row>
    <row r="166" spans="1:19" s="4" customFormat="1" ht="15" hidden="1" customHeight="1" x14ac:dyDescent="0.2">
      <c r="A166" s="29">
        <v>159</v>
      </c>
      <c r="B166" s="56">
        <v>45354</v>
      </c>
      <c r="C166" s="55">
        <v>45352</v>
      </c>
      <c r="D166" s="34" t="s">
        <v>41</v>
      </c>
      <c r="E166" s="34" t="s">
        <v>19</v>
      </c>
      <c r="F166" s="34"/>
      <c r="G166" s="34" t="s">
        <v>75</v>
      </c>
      <c r="H166" s="31">
        <v>1000238</v>
      </c>
      <c r="I166" s="34" t="s">
        <v>42</v>
      </c>
      <c r="J166" s="34" t="s">
        <v>226</v>
      </c>
      <c r="K166" s="31">
        <v>4039</v>
      </c>
      <c r="L166" s="34" t="s">
        <v>222</v>
      </c>
      <c r="M166" s="31">
        <v>7901</v>
      </c>
      <c r="N166" s="31">
        <v>371075</v>
      </c>
      <c r="O166" s="34">
        <v>10787837</v>
      </c>
      <c r="P166" s="57">
        <v>1</v>
      </c>
      <c r="Q166" s="57" t="s">
        <v>26</v>
      </c>
      <c r="R166" s="58">
        <v>225.6</v>
      </c>
      <c r="S166" s="59">
        <v>225.6</v>
      </c>
    </row>
    <row r="167" spans="1:19" s="4" customFormat="1" ht="15" hidden="1" customHeight="1" x14ac:dyDescent="0.2">
      <c r="A167" s="29">
        <v>160</v>
      </c>
      <c r="B167" s="56">
        <v>45355</v>
      </c>
      <c r="C167" s="55">
        <v>45352</v>
      </c>
      <c r="D167" s="34" t="s">
        <v>27</v>
      </c>
      <c r="E167" s="34" t="s">
        <v>74</v>
      </c>
      <c r="F167" s="34"/>
      <c r="G167" s="34" t="s">
        <v>75</v>
      </c>
      <c r="H167" s="31">
        <v>1000287</v>
      </c>
      <c r="I167" s="34" t="s">
        <v>30</v>
      </c>
      <c r="J167" s="34" t="s">
        <v>227</v>
      </c>
      <c r="K167" s="31">
        <v>4067</v>
      </c>
      <c r="L167" s="34" t="s">
        <v>67</v>
      </c>
      <c r="M167" s="31" t="s">
        <v>228</v>
      </c>
      <c r="N167" s="31">
        <v>371045</v>
      </c>
      <c r="O167" s="34">
        <v>10787837</v>
      </c>
      <c r="P167" s="57">
        <v>125</v>
      </c>
      <c r="Q167" s="57" t="s">
        <v>34</v>
      </c>
      <c r="R167" s="58">
        <v>12.28</v>
      </c>
      <c r="S167" s="59">
        <v>1535</v>
      </c>
    </row>
    <row r="168" spans="1:19" s="4" customFormat="1" ht="15" hidden="1" customHeight="1" x14ac:dyDescent="0.2">
      <c r="A168" s="29">
        <v>162</v>
      </c>
      <c r="B168" s="56">
        <v>45355</v>
      </c>
      <c r="C168" s="55">
        <v>45352</v>
      </c>
      <c r="D168" s="34" t="s">
        <v>27</v>
      </c>
      <c r="E168" s="34" t="s">
        <v>74</v>
      </c>
      <c r="F168" s="34"/>
      <c r="G168" s="34" t="s">
        <v>75</v>
      </c>
      <c r="H168" s="31">
        <v>1000287</v>
      </c>
      <c r="I168" s="34" t="s">
        <v>30</v>
      </c>
      <c r="J168" s="34" t="s">
        <v>229</v>
      </c>
      <c r="K168" s="31">
        <v>4067</v>
      </c>
      <c r="L168" s="34" t="s">
        <v>67</v>
      </c>
      <c r="M168" s="31" t="s">
        <v>68</v>
      </c>
      <c r="N168" s="31">
        <v>371045</v>
      </c>
      <c r="O168" s="34">
        <v>10787837</v>
      </c>
      <c r="P168" s="57">
        <v>125</v>
      </c>
      <c r="Q168" s="57" t="s">
        <v>34</v>
      </c>
      <c r="R168" s="58">
        <v>12.28</v>
      </c>
      <c r="S168" s="59">
        <v>1535</v>
      </c>
    </row>
    <row r="169" spans="1:19" s="4" customFormat="1" ht="15" hidden="1" customHeight="1" x14ac:dyDescent="0.2">
      <c r="A169" s="29">
        <v>164</v>
      </c>
      <c r="B169" s="56">
        <v>45357</v>
      </c>
      <c r="C169" s="55">
        <v>45352</v>
      </c>
      <c r="D169" s="34" t="s">
        <v>27</v>
      </c>
      <c r="E169" s="34" t="s">
        <v>383</v>
      </c>
      <c r="F169" s="34"/>
      <c r="G169" s="34" t="s">
        <v>75</v>
      </c>
      <c r="H169" s="31">
        <v>1000287</v>
      </c>
      <c r="I169" s="34" t="s">
        <v>30</v>
      </c>
      <c r="J169" s="34" t="s">
        <v>238</v>
      </c>
      <c r="K169" s="31">
        <v>4067</v>
      </c>
      <c r="L169" s="34" t="s">
        <v>67</v>
      </c>
      <c r="M169" s="31" t="s">
        <v>68</v>
      </c>
      <c r="N169" s="31">
        <v>371065</v>
      </c>
      <c r="O169" s="34">
        <v>10787837</v>
      </c>
      <c r="P169" s="57">
        <v>125</v>
      </c>
      <c r="Q169" s="57" t="s">
        <v>34</v>
      </c>
      <c r="R169" s="58">
        <v>12.28</v>
      </c>
      <c r="S169" s="59">
        <v>1535</v>
      </c>
    </row>
    <row r="170" spans="1:19" s="4" customFormat="1" ht="15" hidden="1" customHeight="1" x14ac:dyDescent="0.2">
      <c r="A170" s="29">
        <v>166</v>
      </c>
      <c r="B170" s="56">
        <v>45357</v>
      </c>
      <c r="C170" s="55">
        <v>45352</v>
      </c>
      <c r="D170" s="34" t="s">
        <v>27</v>
      </c>
      <c r="E170" s="34" t="s">
        <v>383</v>
      </c>
      <c r="F170" s="34"/>
      <c r="G170" s="34" t="s">
        <v>75</v>
      </c>
      <c r="H170" s="31">
        <v>1000287</v>
      </c>
      <c r="I170" s="34" t="s">
        <v>30</v>
      </c>
      <c r="J170" s="34" t="s">
        <v>239</v>
      </c>
      <c r="K170" s="31">
        <v>4067</v>
      </c>
      <c r="L170" s="34" t="s">
        <v>67</v>
      </c>
      <c r="M170" s="31" t="s">
        <v>68</v>
      </c>
      <c r="N170" s="31">
        <v>371065</v>
      </c>
      <c r="O170" s="34">
        <v>10787837</v>
      </c>
      <c r="P170" s="57">
        <v>125</v>
      </c>
      <c r="Q170" s="57" t="s">
        <v>34</v>
      </c>
      <c r="R170" s="58">
        <v>12.28</v>
      </c>
      <c r="S170" s="59">
        <v>1535</v>
      </c>
    </row>
    <row r="171" spans="1:19" s="4" customFormat="1" ht="15" hidden="1" customHeight="1" x14ac:dyDescent="0.2">
      <c r="A171" s="29">
        <v>168</v>
      </c>
      <c r="B171" s="56">
        <v>45359</v>
      </c>
      <c r="C171" s="55">
        <v>45352</v>
      </c>
      <c r="D171" s="34" t="s">
        <v>27</v>
      </c>
      <c r="E171" s="34" t="s">
        <v>19</v>
      </c>
      <c r="F171" s="34"/>
      <c r="G171" s="34" t="s">
        <v>75</v>
      </c>
      <c r="H171" s="31">
        <v>1000287</v>
      </c>
      <c r="I171" s="34" t="s">
        <v>30</v>
      </c>
      <c r="J171" s="34" t="s">
        <v>246</v>
      </c>
      <c r="K171" s="31">
        <v>4050</v>
      </c>
      <c r="L171" s="34" t="s">
        <v>191</v>
      </c>
      <c r="M171" s="31" t="s">
        <v>192</v>
      </c>
      <c r="N171" s="31">
        <v>371075</v>
      </c>
      <c r="O171" s="34">
        <v>10787837</v>
      </c>
      <c r="P171" s="57">
        <v>357</v>
      </c>
      <c r="Q171" s="57" t="s">
        <v>34</v>
      </c>
      <c r="R171" s="58">
        <v>12.28</v>
      </c>
      <c r="S171" s="59">
        <v>4383.96</v>
      </c>
    </row>
    <row r="172" spans="1:19" s="4" customFormat="1" ht="15" hidden="1" customHeight="1" x14ac:dyDescent="0.2">
      <c r="A172" s="29">
        <v>169</v>
      </c>
      <c r="B172" s="56">
        <v>45359</v>
      </c>
      <c r="C172" s="55">
        <v>45352</v>
      </c>
      <c r="D172" s="34" t="s">
        <v>41</v>
      </c>
      <c r="E172" s="34" t="s">
        <v>19</v>
      </c>
      <c r="F172" s="34"/>
      <c r="G172" s="34" t="s">
        <v>75</v>
      </c>
      <c r="H172" s="31">
        <v>1000238</v>
      </c>
      <c r="I172" s="34" t="s">
        <v>42</v>
      </c>
      <c r="J172" s="34" t="s">
        <v>247</v>
      </c>
      <c r="K172" s="31">
        <v>4050</v>
      </c>
      <c r="L172" s="34" t="s">
        <v>222</v>
      </c>
      <c r="M172" s="31">
        <v>7901</v>
      </c>
      <c r="N172" s="31">
        <v>371075</v>
      </c>
      <c r="O172" s="34">
        <v>10787837</v>
      </c>
      <c r="P172" s="57">
        <v>1</v>
      </c>
      <c r="Q172" s="57" t="s">
        <v>26</v>
      </c>
      <c r="R172" s="58">
        <v>225.6</v>
      </c>
      <c r="S172" s="59">
        <v>225.6</v>
      </c>
    </row>
    <row r="173" spans="1:19" s="4" customFormat="1" ht="15" hidden="1" customHeight="1" x14ac:dyDescent="0.2">
      <c r="A173" s="29">
        <v>170</v>
      </c>
      <c r="B173" s="56">
        <v>45360</v>
      </c>
      <c r="C173" s="55">
        <v>45352</v>
      </c>
      <c r="D173" s="34" t="s">
        <v>27</v>
      </c>
      <c r="E173" s="34" t="s">
        <v>383</v>
      </c>
      <c r="F173" s="34"/>
      <c r="G173" s="34" t="s">
        <v>75</v>
      </c>
      <c r="H173" s="31">
        <v>1000287</v>
      </c>
      <c r="I173" s="34" t="s">
        <v>30</v>
      </c>
      <c r="J173" s="34" t="s">
        <v>253</v>
      </c>
      <c r="K173" s="31">
        <v>4002</v>
      </c>
      <c r="L173" s="34" t="s">
        <v>164</v>
      </c>
      <c r="M173" s="31" t="s">
        <v>236</v>
      </c>
      <c r="N173" s="31">
        <v>371065</v>
      </c>
      <c r="O173" s="34">
        <v>10787837</v>
      </c>
      <c r="P173" s="57">
        <v>274</v>
      </c>
      <c r="Q173" s="57" t="s">
        <v>34</v>
      </c>
      <c r="R173" s="58">
        <v>12.28</v>
      </c>
      <c r="S173" s="59">
        <v>3364.72</v>
      </c>
    </row>
    <row r="174" spans="1:19" s="4" customFormat="1" ht="15" hidden="1" customHeight="1" x14ac:dyDescent="0.2">
      <c r="A174" s="29">
        <v>171</v>
      </c>
      <c r="B174" s="56">
        <v>45360</v>
      </c>
      <c r="C174" s="55">
        <v>45352</v>
      </c>
      <c r="D174" s="34" t="s">
        <v>41</v>
      </c>
      <c r="E174" s="34" t="s">
        <v>383</v>
      </c>
      <c r="F174" s="34"/>
      <c r="G174" s="34" t="s">
        <v>75</v>
      </c>
      <c r="H174" s="31">
        <v>1000238</v>
      </c>
      <c r="I174" s="34" t="s">
        <v>42</v>
      </c>
      <c r="J174" s="34" t="s">
        <v>254</v>
      </c>
      <c r="K174" s="31">
        <v>4002</v>
      </c>
      <c r="L174" s="34" t="s">
        <v>222</v>
      </c>
      <c r="M174" s="31">
        <v>7901</v>
      </c>
      <c r="N174" s="31">
        <v>371065</v>
      </c>
      <c r="O174" s="34">
        <v>10787837</v>
      </c>
      <c r="P174" s="57">
        <v>1</v>
      </c>
      <c r="Q174" s="57" t="s">
        <v>26</v>
      </c>
      <c r="R174" s="58">
        <v>160.80000000000001</v>
      </c>
      <c r="S174" s="59">
        <v>160.80000000000001</v>
      </c>
    </row>
    <row r="175" spans="1:19" s="4" customFormat="1" ht="15" hidden="1" customHeight="1" x14ac:dyDescent="0.2">
      <c r="A175" s="29">
        <v>172</v>
      </c>
      <c r="B175" s="56">
        <v>45360</v>
      </c>
      <c r="C175" s="55">
        <v>45352</v>
      </c>
      <c r="D175" s="34" t="s">
        <v>27</v>
      </c>
      <c r="E175" s="34" t="s">
        <v>383</v>
      </c>
      <c r="F175" s="34"/>
      <c r="G175" s="34" t="s">
        <v>75</v>
      </c>
      <c r="H175" s="31">
        <v>1000287</v>
      </c>
      <c r="I175" s="34" t="s">
        <v>30</v>
      </c>
      <c r="J175" s="34" t="s">
        <v>253</v>
      </c>
      <c r="K175" s="31">
        <v>4002</v>
      </c>
      <c r="L175" s="34" t="s">
        <v>164</v>
      </c>
      <c r="M175" s="31" t="s">
        <v>236</v>
      </c>
      <c r="N175" s="31">
        <v>371065</v>
      </c>
      <c r="O175" s="34">
        <v>10787837</v>
      </c>
      <c r="P175" s="57">
        <v>270</v>
      </c>
      <c r="Q175" s="57" t="s">
        <v>34</v>
      </c>
      <c r="R175" s="58">
        <v>12.28</v>
      </c>
      <c r="S175" s="59">
        <v>3315.6</v>
      </c>
    </row>
    <row r="176" spans="1:19" s="4" customFormat="1" ht="15" hidden="1" customHeight="1" x14ac:dyDescent="0.2">
      <c r="A176" s="29">
        <v>173</v>
      </c>
      <c r="B176" s="56">
        <v>45360</v>
      </c>
      <c r="C176" s="55">
        <v>45352</v>
      </c>
      <c r="D176" s="34" t="s">
        <v>41</v>
      </c>
      <c r="E176" s="34" t="s">
        <v>383</v>
      </c>
      <c r="F176" s="34"/>
      <c r="G176" s="34" t="s">
        <v>75</v>
      </c>
      <c r="H176" s="31">
        <v>1000238</v>
      </c>
      <c r="I176" s="34" t="s">
        <v>42</v>
      </c>
      <c r="J176" s="34" t="s">
        <v>254</v>
      </c>
      <c r="K176" s="31">
        <v>4002</v>
      </c>
      <c r="L176" s="34" t="s">
        <v>222</v>
      </c>
      <c r="M176" s="31">
        <v>7901</v>
      </c>
      <c r="N176" s="31">
        <v>371065</v>
      </c>
      <c r="O176" s="34">
        <v>10787837</v>
      </c>
      <c r="P176" s="57">
        <v>1</v>
      </c>
      <c r="Q176" s="57" t="s">
        <v>26</v>
      </c>
      <c r="R176" s="58">
        <v>119.1</v>
      </c>
      <c r="S176" s="59">
        <v>119.1</v>
      </c>
    </row>
    <row r="177" spans="1:19" s="4" customFormat="1" ht="15" hidden="1" customHeight="1" x14ac:dyDescent="0.2">
      <c r="A177" s="29">
        <v>174</v>
      </c>
      <c r="B177" s="56">
        <v>45360</v>
      </c>
      <c r="C177" s="55">
        <v>45352</v>
      </c>
      <c r="D177" s="34" t="s">
        <v>27</v>
      </c>
      <c r="E177" s="34" t="s">
        <v>383</v>
      </c>
      <c r="F177" s="34"/>
      <c r="G177" s="34" t="s">
        <v>75</v>
      </c>
      <c r="H177" s="31">
        <v>1000287</v>
      </c>
      <c r="I177" s="34" t="s">
        <v>30</v>
      </c>
      <c r="J177" s="34" t="s">
        <v>253</v>
      </c>
      <c r="K177" s="31">
        <v>4002</v>
      </c>
      <c r="L177" s="34" t="s">
        <v>164</v>
      </c>
      <c r="M177" s="31" t="s">
        <v>236</v>
      </c>
      <c r="N177" s="31">
        <v>371065</v>
      </c>
      <c r="O177" s="34">
        <v>10787837</v>
      </c>
      <c r="P177" s="57">
        <v>326</v>
      </c>
      <c r="Q177" s="57" t="s">
        <v>34</v>
      </c>
      <c r="R177" s="58">
        <v>12.28</v>
      </c>
      <c r="S177" s="59">
        <v>4003.2799999999997</v>
      </c>
    </row>
    <row r="178" spans="1:19" s="4" customFormat="1" ht="15" hidden="1" customHeight="1" x14ac:dyDescent="0.2">
      <c r="A178" s="29">
        <v>175</v>
      </c>
      <c r="B178" s="56">
        <v>45360</v>
      </c>
      <c r="C178" s="55">
        <v>45352</v>
      </c>
      <c r="D178" s="34" t="s">
        <v>41</v>
      </c>
      <c r="E178" s="34" t="s">
        <v>383</v>
      </c>
      <c r="F178" s="34"/>
      <c r="G178" s="34" t="s">
        <v>75</v>
      </c>
      <c r="H178" s="31">
        <v>1000238</v>
      </c>
      <c r="I178" s="34" t="s">
        <v>42</v>
      </c>
      <c r="J178" s="34" t="s">
        <v>254</v>
      </c>
      <c r="K178" s="31">
        <v>4002</v>
      </c>
      <c r="L178" s="34" t="s">
        <v>222</v>
      </c>
      <c r="M178" s="31">
        <v>7901</v>
      </c>
      <c r="N178" s="31">
        <v>371065</v>
      </c>
      <c r="O178" s="34">
        <v>10787837</v>
      </c>
      <c r="P178" s="57">
        <v>1</v>
      </c>
      <c r="Q178" s="57" t="s">
        <v>26</v>
      </c>
      <c r="R178" s="58">
        <v>160.80000000000001</v>
      </c>
      <c r="S178" s="59">
        <v>160.80000000000001</v>
      </c>
    </row>
    <row r="179" spans="1:19" s="4" customFormat="1" ht="15" hidden="1" customHeight="1" x14ac:dyDescent="0.2">
      <c r="A179" s="29">
        <v>176</v>
      </c>
      <c r="B179" s="56">
        <v>45362</v>
      </c>
      <c r="C179" s="55">
        <v>45352</v>
      </c>
      <c r="D179" s="34" t="s">
        <v>27</v>
      </c>
      <c r="E179" s="34" t="s">
        <v>383</v>
      </c>
      <c r="F179" s="34"/>
      <c r="G179" s="34" t="s">
        <v>75</v>
      </c>
      <c r="H179" s="31">
        <v>1000287</v>
      </c>
      <c r="I179" s="34" t="s">
        <v>30</v>
      </c>
      <c r="J179" s="34" t="s">
        <v>255</v>
      </c>
      <c r="K179" s="31">
        <v>4048</v>
      </c>
      <c r="L179" s="34" t="s">
        <v>77</v>
      </c>
      <c r="M179" s="31" t="s">
        <v>208</v>
      </c>
      <c r="N179" s="31">
        <v>371065</v>
      </c>
      <c r="O179" s="34">
        <v>10787837</v>
      </c>
      <c r="P179" s="57">
        <v>250</v>
      </c>
      <c r="Q179" s="57" t="s">
        <v>34</v>
      </c>
      <c r="R179" s="58">
        <v>12.28</v>
      </c>
      <c r="S179" s="59">
        <v>3070</v>
      </c>
    </row>
    <row r="180" spans="1:19" s="4" customFormat="1" ht="15" hidden="1" customHeight="1" x14ac:dyDescent="0.2">
      <c r="A180" s="29">
        <v>177</v>
      </c>
      <c r="B180" s="56">
        <v>45362</v>
      </c>
      <c r="C180" s="55">
        <v>45352</v>
      </c>
      <c r="D180" s="34" t="s">
        <v>41</v>
      </c>
      <c r="E180" s="34" t="s">
        <v>383</v>
      </c>
      <c r="F180" s="34"/>
      <c r="G180" s="34" t="s">
        <v>75</v>
      </c>
      <c r="H180" s="31">
        <v>1000238</v>
      </c>
      <c r="I180" s="34" t="s">
        <v>42</v>
      </c>
      <c r="J180" s="34" t="s">
        <v>256</v>
      </c>
      <c r="K180" s="31">
        <v>4048</v>
      </c>
      <c r="L180" s="34" t="s">
        <v>222</v>
      </c>
      <c r="M180" s="31">
        <v>7901</v>
      </c>
      <c r="N180" s="31">
        <v>371065</v>
      </c>
      <c r="O180" s="34">
        <v>10787837</v>
      </c>
      <c r="P180" s="57">
        <v>1</v>
      </c>
      <c r="Q180" s="57" t="s">
        <v>26</v>
      </c>
      <c r="R180" s="58">
        <v>125.86</v>
      </c>
      <c r="S180" s="59">
        <v>125.86</v>
      </c>
    </row>
    <row r="181" spans="1:19" s="4" customFormat="1" ht="15" hidden="1" customHeight="1" x14ac:dyDescent="0.2">
      <c r="A181" s="29">
        <v>178</v>
      </c>
      <c r="B181" s="56">
        <v>45362</v>
      </c>
      <c r="C181" s="55">
        <v>45352</v>
      </c>
      <c r="D181" s="34" t="s">
        <v>27</v>
      </c>
      <c r="E181" s="34" t="s">
        <v>383</v>
      </c>
      <c r="F181" s="34"/>
      <c r="G181" s="34" t="s">
        <v>75</v>
      </c>
      <c r="H181" s="31">
        <v>1000287</v>
      </c>
      <c r="I181" s="34" t="s">
        <v>30</v>
      </c>
      <c r="J181" s="34" t="s">
        <v>255</v>
      </c>
      <c r="K181" s="31">
        <v>4048</v>
      </c>
      <c r="L181" s="34" t="s">
        <v>77</v>
      </c>
      <c r="M181" s="31" t="s">
        <v>208</v>
      </c>
      <c r="N181" s="31">
        <v>371065</v>
      </c>
      <c r="O181" s="34">
        <v>10787837</v>
      </c>
      <c r="P181" s="57">
        <v>250</v>
      </c>
      <c r="Q181" s="57" t="s">
        <v>34</v>
      </c>
      <c r="R181" s="58">
        <v>12.28</v>
      </c>
      <c r="S181" s="59">
        <v>3070</v>
      </c>
    </row>
    <row r="182" spans="1:19" s="4" customFormat="1" ht="15" hidden="1" customHeight="1" x14ac:dyDescent="0.2">
      <c r="A182" s="29">
        <v>179</v>
      </c>
      <c r="B182" s="56">
        <v>45362</v>
      </c>
      <c r="C182" s="55">
        <v>45352</v>
      </c>
      <c r="D182" s="34" t="s">
        <v>41</v>
      </c>
      <c r="E182" s="34" t="s">
        <v>383</v>
      </c>
      <c r="F182" s="34"/>
      <c r="G182" s="34" t="s">
        <v>75</v>
      </c>
      <c r="H182" s="31">
        <v>1000238</v>
      </c>
      <c r="I182" s="34" t="s">
        <v>42</v>
      </c>
      <c r="J182" s="34" t="s">
        <v>256</v>
      </c>
      <c r="K182" s="31">
        <v>4048</v>
      </c>
      <c r="L182" s="34" t="s">
        <v>222</v>
      </c>
      <c r="M182" s="31">
        <v>7901</v>
      </c>
      <c r="N182" s="31">
        <v>371065</v>
      </c>
      <c r="O182" s="34">
        <v>10787837</v>
      </c>
      <c r="P182" s="57">
        <v>1</v>
      </c>
      <c r="Q182" s="57" t="s">
        <v>26</v>
      </c>
      <c r="R182" s="58">
        <v>98.4</v>
      </c>
      <c r="S182" s="59">
        <v>98.4</v>
      </c>
    </row>
    <row r="183" spans="1:19" s="4" customFormat="1" ht="15" hidden="1" customHeight="1" x14ac:dyDescent="0.2">
      <c r="A183" s="29">
        <v>180</v>
      </c>
      <c r="B183" s="56">
        <v>45362</v>
      </c>
      <c r="C183" s="55">
        <v>45352</v>
      </c>
      <c r="D183" s="34" t="s">
        <v>27</v>
      </c>
      <c r="E183" s="34" t="s">
        <v>383</v>
      </c>
      <c r="F183" s="34"/>
      <c r="G183" s="34" t="s">
        <v>75</v>
      </c>
      <c r="H183" s="31">
        <v>1000287</v>
      </c>
      <c r="I183" s="34" t="s">
        <v>30</v>
      </c>
      <c r="J183" s="34" t="s">
        <v>255</v>
      </c>
      <c r="K183" s="31">
        <v>4048</v>
      </c>
      <c r="L183" s="34" t="s">
        <v>77</v>
      </c>
      <c r="M183" s="31" t="s">
        <v>208</v>
      </c>
      <c r="N183" s="31">
        <v>371065</v>
      </c>
      <c r="O183" s="34">
        <v>10787837</v>
      </c>
      <c r="P183" s="57">
        <v>125</v>
      </c>
      <c r="Q183" s="57" t="s">
        <v>34</v>
      </c>
      <c r="R183" s="58">
        <v>12.28</v>
      </c>
      <c r="S183" s="59">
        <v>1535</v>
      </c>
    </row>
    <row r="184" spans="1:19" s="4" customFormat="1" ht="15" hidden="1" customHeight="1" x14ac:dyDescent="0.2">
      <c r="A184" s="29">
        <v>181</v>
      </c>
      <c r="B184" s="56">
        <v>45362</v>
      </c>
      <c r="C184" s="55">
        <v>45352</v>
      </c>
      <c r="D184" s="34" t="s">
        <v>41</v>
      </c>
      <c r="E184" s="34" t="s">
        <v>383</v>
      </c>
      <c r="F184" s="34"/>
      <c r="G184" s="34" t="s">
        <v>75</v>
      </c>
      <c r="H184" s="31">
        <v>1000238</v>
      </c>
      <c r="I184" s="34" t="s">
        <v>42</v>
      </c>
      <c r="J184" s="34" t="s">
        <v>256</v>
      </c>
      <c r="K184" s="31">
        <v>4048</v>
      </c>
      <c r="L184" s="34" t="s">
        <v>222</v>
      </c>
      <c r="M184" s="31">
        <v>7901</v>
      </c>
      <c r="N184" s="31">
        <v>371065</v>
      </c>
      <c r="O184" s="34">
        <v>10787837</v>
      </c>
      <c r="P184" s="57">
        <v>1</v>
      </c>
      <c r="Q184" s="57" t="s">
        <v>26</v>
      </c>
      <c r="R184" s="58">
        <v>78.459999999999994</v>
      </c>
      <c r="S184" s="59">
        <v>78.459999999999994</v>
      </c>
    </row>
    <row r="185" spans="1:19" s="4" customFormat="1" ht="15" hidden="1" customHeight="1" x14ac:dyDescent="0.2">
      <c r="A185" s="29">
        <v>182</v>
      </c>
      <c r="B185" s="56">
        <v>45362</v>
      </c>
      <c r="C185" s="55">
        <v>45352</v>
      </c>
      <c r="D185" s="34" t="s">
        <v>27</v>
      </c>
      <c r="E185" s="34" t="s">
        <v>383</v>
      </c>
      <c r="F185" s="34"/>
      <c r="G185" s="34" t="s">
        <v>75</v>
      </c>
      <c r="H185" s="31">
        <v>1000287</v>
      </c>
      <c r="I185" s="34" t="s">
        <v>30</v>
      </c>
      <c r="J185" s="34" t="s">
        <v>255</v>
      </c>
      <c r="K185" s="31">
        <v>4048</v>
      </c>
      <c r="L185" s="34" t="s">
        <v>77</v>
      </c>
      <c r="M185" s="31" t="s">
        <v>208</v>
      </c>
      <c r="N185" s="31">
        <v>371065</v>
      </c>
      <c r="O185" s="34">
        <v>10787837</v>
      </c>
      <c r="P185" s="57">
        <v>125</v>
      </c>
      <c r="Q185" s="57" t="s">
        <v>34</v>
      </c>
      <c r="R185" s="58">
        <v>12.28</v>
      </c>
      <c r="S185" s="59">
        <v>1535</v>
      </c>
    </row>
    <row r="186" spans="1:19" s="4" customFormat="1" ht="15" hidden="1" customHeight="1" x14ac:dyDescent="0.2">
      <c r="A186" s="29">
        <v>183</v>
      </c>
      <c r="B186" s="56">
        <v>45362</v>
      </c>
      <c r="C186" s="55">
        <v>45352</v>
      </c>
      <c r="D186" s="34" t="s">
        <v>41</v>
      </c>
      <c r="E186" s="34" t="s">
        <v>383</v>
      </c>
      <c r="F186" s="34"/>
      <c r="G186" s="34" t="s">
        <v>75</v>
      </c>
      <c r="H186" s="31">
        <v>1000238</v>
      </c>
      <c r="I186" s="34" t="s">
        <v>42</v>
      </c>
      <c r="J186" s="34" t="s">
        <v>256</v>
      </c>
      <c r="K186" s="31">
        <v>4048</v>
      </c>
      <c r="L186" s="34" t="s">
        <v>222</v>
      </c>
      <c r="M186" s="31">
        <v>7901</v>
      </c>
      <c r="N186" s="31">
        <v>371065</v>
      </c>
      <c r="O186" s="34">
        <v>10787837</v>
      </c>
      <c r="P186" s="57">
        <v>1</v>
      </c>
      <c r="Q186" s="57" t="s">
        <v>26</v>
      </c>
      <c r="R186" s="58">
        <v>125.86</v>
      </c>
      <c r="S186" s="59">
        <v>125.86</v>
      </c>
    </row>
    <row r="187" spans="1:19" s="4" customFormat="1" ht="15" hidden="1" customHeight="1" x14ac:dyDescent="0.2">
      <c r="A187" s="29">
        <v>184</v>
      </c>
      <c r="B187" s="56">
        <v>45362</v>
      </c>
      <c r="C187" s="55">
        <v>45352</v>
      </c>
      <c r="D187" s="34" t="s">
        <v>27</v>
      </c>
      <c r="E187" s="34" t="s">
        <v>383</v>
      </c>
      <c r="F187" s="34"/>
      <c r="G187" s="34" t="s">
        <v>75</v>
      </c>
      <c r="H187" s="31">
        <v>1000287</v>
      </c>
      <c r="I187" s="34" t="s">
        <v>30</v>
      </c>
      <c r="J187" s="34" t="s">
        <v>257</v>
      </c>
      <c r="K187" s="31">
        <v>4002</v>
      </c>
      <c r="L187" s="34" t="s">
        <v>164</v>
      </c>
      <c r="M187" s="31" t="s">
        <v>236</v>
      </c>
      <c r="N187" s="31">
        <v>371065</v>
      </c>
      <c r="O187" s="34">
        <v>10787837</v>
      </c>
      <c r="P187" s="57">
        <v>125</v>
      </c>
      <c r="Q187" s="57" t="s">
        <v>34</v>
      </c>
      <c r="R187" s="58">
        <v>12.28</v>
      </c>
      <c r="S187" s="59">
        <v>1535</v>
      </c>
    </row>
    <row r="188" spans="1:19" s="4" customFormat="1" ht="15" hidden="1" customHeight="1" x14ac:dyDescent="0.2">
      <c r="A188" s="29">
        <v>186</v>
      </c>
      <c r="B188" s="56">
        <v>45362</v>
      </c>
      <c r="C188" s="55">
        <v>45352</v>
      </c>
      <c r="D188" s="34" t="s">
        <v>27</v>
      </c>
      <c r="E188" s="34" t="s">
        <v>383</v>
      </c>
      <c r="F188" s="34"/>
      <c r="G188" s="34" t="s">
        <v>75</v>
      </c>
      <c r="H188" s="31">
        <v>1000287</v>
      </c>
      <c r="I188" s="34" t="s">
        <v>30</v>
      </c>
      <c r="J188" s="34" t="s">
        <v>258</v>
      </c>
      <c r="K188" s="31">
        <v>4002</v>
      </c>
      <c r="L188" s="34" t="s">
        <v>164</v>
      </c>
      <c r="M188" s="31" t="s">
        <v>259</v>
      </c>
      <c r="N188" s="31">
        <v>371065</v>
      </c>
      <c r="O188" s="34">
        <v>10787837</v>
      </c>
      <c r="P188" s="57">
        <v>125</v>
      </c>
      <c r="Q188" s="57" t="s">
        <v>34</v>
      </c>
      <c r="R188" s="58">
        <v>12.28</v>
      </c>
      <c r="S188" s="59">
        <v>1535</v>
      </c>
    </row>
    <row r="189" spans="1:19" s="4" customFormat="1" ht="15" hidden="1" customHeight="1" x14ac:dyDescent="0.2">
      <c r="A189" s="29">
        <v>188</v>
      </c>
      <c r="B189" s="56">
        <v>45366</v>
      </c>
      <c r="C189" s="55">
        <v>45352</v>
      </c>
      <c r="D189" s="34" t="s">
        <v>27</v>
      </c>
      <c r="E189" s="34" t="s">
        <v>19</v>
      </c>
      <c r="F189" s="34"/>
      <c r="G189" s="34" t="s">
        <v>75</v>
      </c>
      <c r="H189" s="31">
        <v>1000287</v>
      </c>
      <c r="I189" s="34" t="s">
        <v>30</v>
      </c>
      <c r="J189" s="34" t="s">
        <v>268</v>
      </c>
      <c r="K189" s="31">
        <v>4043</v>
      </c>
      <c r="L189" s="34" t="s">
        <v>269</v>
      </c>
      <c r="M189" s="31">
        <v>2035</v>
      </c>
      <c r="N189" s="31">
        <v>371075</v>
      </c>
      <c r="O189" s="34">
        <v>10789039</v>
      </c>
      <c r="P189" s="57">
        <v>454</v>
      </c>
      <c r="Q189" s="57" t="s">
        <v>34</v>
      </c>
      <c r="R189" s="58">
        <v>12.28</v>
      </c>
      <c r="S189" s="59">
        <v>5575.12</v>
      </c>
    </row>
    <row r="190" spans="1:19" s="4" customFormat="1" ht="15" hidden="1" customHeight="1" x14ac:dyDescent="0.2">
      <c r="A190" s="29">
        <v>190</v>
      </c>
      <c r="B190" s="56">
        <v>45370</v>
      </c>
      <c r="C190" s="55">
        <v>45352</v>
      </c>
      <c r="D190" s="34" t="s">
        <v>27</v>
      </c>
      <c r="E190" s="34" t="s">
        <v>74</v>
      </c>
      <c r="F190" s="34"/>
      <c r="G190" s="34" t="s">
        <v>75</v>
      </c>
      <c r="H190" s="31">
        <v>1000287</v>
      </c>
      <c r="I190" s="34" t="s">
        <v>30</v>
      </c>
      <c r="J190" s="34" t="s">
        <v>271</v>
      </c>
      <c r="K190" s="31">
        <v>4067</v>
      </c>
      <c r="L190" s="34" t="s">
        <v>67</v>
      </c>
      <c r="M190" s="31" t="s">
        <v>228</v>
      </c>
      <c r="N190" s="31">
        <v>371045</v>
      </c>
      <c r="O190" s="34">
        <v>10789039</v>
      </c>
      <c r="P190" s="57">
        <v>250</v>
      </c>
      <c r="Q190" s="57" t="s">
        <v>34</v>
      </c>
      <c r="R190" s="58">
        <v>12.28</v>
      </c>
      <c r="S190" s="59">
        <v>3070</v>
      </c>
    </row>
    <row r="191" spans="1:19" s="4" customFormat="1" ht="15" hidden="1" customHeight="1" x14ac:dyDescent="0.2">
      <c r="A191" s="29">
        <v>192</v>
      </c>
      <c r="B191" s="56">
        <v>45371</v>
      </c>
      <c r="C191" s="55">
        <v>45352</v>
      </c>
      <c r="D191" s="34" t="s">
        <v>27</v>
      </c>
      <c r="E191" s="34" t="s">
        <v>19</v>
      </c>
      <c r="F191" s="34"/>
      <c r="G191" s="34" t="s">
        <v>75</v>
      </c>
      <c r="H191" s="31">
        <v>1000287</v>
      </c>
      <c r="I191" s="34" t="s">
        <v>30</v>
      </c>
      <c r="J191" s="34" t="s">
        <v>273</v>
      </c>
      <c r="K191" s="31">
        <v>4071</v>
      </c>
      <c r="L191" s="34" t="s">
        <v>144</v>
      </c>
      <c r="M191" s="31" t="s">
        <v>145</v>
      </c>
      <c r="N191" s="31">
        <v>371075</v>
      </c>
      <c r="O191" s="34">
        <v>10789039</v>
      </c>
      <c r="P191" s="57">
        <v>391.99999999999994</v>
      </c>
      <c r="Q191" s="57" t="s">
        <v>34</v>
      </c>
      <c r="R191" s="58">
        <v>12.28</v>
      </c>
      <c r="S191" s="59">
        <v>4813.7599999999993</v>
      </c>
    </row>
    <row r="192" spans="1:19" s="4" customFormat="1" ht="15" hidden="1" customHeight="1" x14ac:dyDescent="0.2">
      <c r="A192" s="29">
        <v>194</v>
      </c>
      <c r="B192" s="56">
        <v>45371</v>
      </c>
      <c r="C192" s="55">
        <v>45352</v>
      </c>
      <c r="D192" s="34" t="s">
        <v>27</v>
      </c>
      <c r="E192" s="34" t="s">
        <v>383</v>
      </c>
      <c r="F192" s="34"/>
      <c r="G192" s="34" t="s">
        <v>75</v>
      </c>
      <c r="H192" s="31">
        <v>1000287</v>
      </c>
      <c r="I192" s="34" t="s">
        <v>30</v>
      </c>
      <c r="J192" s="34" t="s">
        <v>274</v>
      </c>
      <c r="K192" s="31">
        <v>4067</v>
      </c>
      <c r="L192" s="34" t="s">
        <v>67</v>
      </c>
      <c r="M192" s="31" t="s">
        <v>228</v>
      </c>
      <c r="N192" s="31">
        <v>371065</v>
      </c>
      <c r="O192" s="34">
        <v>10789039</v>
      </c>
      <c r="P192" s="57">
        <v>250</v>
      </c>
      <c r="Q192" s="57" t="s">
        <v>34</v>
      </c>
      <c r="R192" s="58">
        <v>12.28</v>
      </c>
      <c r="S192" s="59">
        <v>3070</v>
      </c>
    </row>
    <row r="193" spans="1:19" s="4" customFormat="1" ht="15" hidden="1" customHeight="1" x14ac:dyDescent="0.2">
      <c r="A193" s="29">
        <v>196</v>
      </c>
      <c r="B193" s="56">
        <v>45371</v>
      </c>
      <c r="C193" s="55">
        <v>45352</v>
      </c>
      <c r="D193" s="34" t="s">
        <v>27</v>
      </c>
      <c r="E193" s="34" t="s">
        <v>383</v>
      </c>
      <c r="F193" s="34"/>
      <c r="G193" s="34" t="s">
        <v>75</v>
      </c>
      <c r="H193" s="31">
        <v>1000287</v>
      </c>
      <c r="I193" s="34" t="s">
        <v>30</v>
      </c>
      <c r="J193" s="34" t="s">
        <v>274</v>
      </c>
      <c r="K193" s="31">
        <v>4067</v>
      </c>
      <c r="L193" s="34" t="s">
        <v>67</v>
      </c>
      <c r="M193" s="31" t="s">
        <v>228</v>
      </c>
      <c r="N193" s="31">
        <v>371065</v>
      </c>
      <c r="O193" s="34">
        <v>10789039</v>
      </c>
      <c r="P193" s="57">
        <v>250</v>
      </c>
      <c r="Q193" s="57" t="s">
        <v>34</v>
      </c>
      <c r="R193" s="58">
        <v>12.28</v>
      </c>
      <c r="S193" s="59">
        <v>3070</v>
      </c>
    </row>
    <row r="194" spans="1:19" s="4" customFormat="1" ht="15" hidden="1" customHeight="1" x14ac:dyDescent="0.2">
      <c r="A194" s="29">
        <v>212</v>
      </c>
      <c r="B194" s="56">
        <v>45366</v>
      </c>
      <c r="C194" s="55">
        <v>45352</v>
      </c>
      <c r="D194" s="34" t="s">
        <v>41</v>
      </c>
      <c r="E194" s="34" t="s">
        <v>19</v>
      </c>
      <c r="F194" s="34"/>
      <c r="G194" s="34" t="s">
        <v>75</v>
      </c>
      <c r="H194" s="31">
        <v>1000238</v>
      </c>
      <c r="I194" s="34" t="s">
        <v>42</v>
      </c>
      <c r="J194" s="34" t="s">
        <v>270</v>
      </c>
      <c r="K194" s="31" t="s">
        <v>263</v>
      </c>
      <c r="L194" s="34" t="s">
        <v>222</v>
      </c>
      <c r="M194" s="31">
        <v>7901</v>
      </c>
      <c r="N194" s="31">
        <v>371075</v>
      </c>
      <c r="O194" s="34">
        <v>10789039</v>
      </c>
      <c r="P194" s="57">
        <v>1</v>
      </c>
      <c r="Q194" s="57" t="s">
        <v>26</v>
      </c>
      <c r="R194" s="58">
        <v>404.19</v>
      </c>
      <c r="S194" s="59">
        <v>404.19</v>
      </c>
    </row>
    <row r="195" spans="1:19" s="4" customFormat="1" ht="15" hidden="1" customHeight="1" x14ac:dyDescent="0.2">
      <c r="A195" s="29">
        <v>214</v>
      </c>
      <c r="B195" s="56">
        <v>45370</v>
      </c>
      <c r="C195" s="55">
        <v>45352</v>
      </c>
      <c r="D195" s="34" t="s">
        <v>41</v>
      </c>
      <c r="E195" s="34" t="s">
        <v>74</v>
      </c>
      <c r="F195" s="34"/>
      <c r="G195" s="34" t="s">
        <v>75</v>
      </c>
      <c r="H195" s="31">
        <v>1000238</v>
      </c>
      <c r="I195" s="34" t="s">
        <v>42</v>
      </c>
      <c r="J195" s="34" t="s">
        <v>272</v>
      </c>
      <c r="K195" s="31" t="s">
        <v>263</v>
      </c>
      <c r="L195" s="34" t="s">
        <v>222</v>
      </c>
      <c r="M195" s="31">
        <v>7901</v>
      </c>
      <c r="N195" s="31">
        <v>371045</v>
      </c>
      <c r="O195" s="34">
        <v>10789039</v>
      </c>
      <c r="P195" s="57">
        <v>1</v>
      </c>
      <c r="Q195" s="57" t="s">
        <v>26</v>
      </c>
      <c r="R195" s="58">
        <v>192.4</v>
      </c>
      <c r="S195" s="59">
        <v>192.4</v>
      </c>
    </row>
    <row r="196" spans="1:19" s="4" customFormat="1" ht="15" hidden="1" customHeight="1" x14ac:dyDescent="0.2">
      <c r="A196" s="29">
        <v>216</v>
      </c>
      <c r="B196" s="56">
        <v>45371</v>
      </c>
      <c r="C196" s="55">
        <v>45352</v>
      </c>
      <c r="D196" s="34" t="s">
        <v>41</v>
      </c>
      <c r="E196" s="34" t="s">
        <v>19</v>
      </c>
      <c r="F196" s="34"/>
      <c r="G196" s="34" t="s">
        <v>75</v>
      </c>
      <c r="H196" s="31">
        <v>1000238</v>
      </c>
      <c r="I196" s="34" t="s">
        <v>42</v>
      </c>
      <c r="J196" s="34" t="s">
        <v>275</v>
      </c>
      <c r="K196" s="31" t="s">
        <v>263</v>
      </c>
      <c r="L196" s="34" t="s">
        <v>222</v>
      </c>
      <c r="M196" s="31">
        <v>7901</v>
      </c>
      <c r="N196" s="31">
        <v>371075</v>
      </c>
      <c r="O196" s="34">
        <v>10789039</v>
      </c>
      <c r="P196" s="57">
        <v>1</v>
      </c>
      <c r="Q196" s="57" t="s">
        <v>26</v>
      </c>
      <c r="R196" s="58">
        <v>353.1</v>
      </c>
      <c r="S196" s="59">
        <v>353.1</v>
      </c>
    </row>
    <row r="197" spans="1:19" s="4" customFormat="1" ht="15" hidden="1" customHeight="1" x14ac:dyDescent="0.2">
      <c r="A197" s="29">
        <v>218</v>
      </c>
      <c r="B197" s="56">
        <v>45371</v>
      </c>
      <c r="C197" s="55">
        <v>45352</v>
      </c>
      <c r="D197" s="34" t="s">
        <v>41</v>
      </c>
      <c r="E197" s="34" t="s">
        <v>383</v>
      </c>
      <c r="F197" s="34"/>
      <c r="G197" s="34" t="s">
        <v>75</v>
      </c>
      <c r="H197" s="31">
        <v>1000238</v>
      </c>
      <c r="I197" s="34" t="s">
        <v>42</v>
      </c>
      <c r="J197" s="34" t="s">
        <v>276</v>
      </c>
      <c r="K197" s="31" t="s">
        <v>263</v>
      </c>
      <c r="L197" s="34" t="s">
        <v>222</v>
      </c>
      <c r="M197" s="31">
        <v>7901</v>
      </c>
      <c r="N197" s="31">
        <v>371065</v>
      </c>
      <c r="O197" s="34">
        <v>10789039</v>
      </c>
      <c r="P197" s="57">
        <v>1</v>
      </c>
      <c r="Q197" s="57" t="s">
        <v>26</v>
      </c>
      <c r="R197" s="58">
        <v>47.4</v>
      </c>
      <c r="S197" s="59">
        <v>47.4</v>
      </c>
    </row>
    <row r="198" spans="1:19" s="4" customFormat="1" ht="15" hidden="1" customHeight="1" x14ac:dyDescent="0.2">
      <c r="A198" s="29">
        <v>220</v>
      </c>
      <c r="B198" s="56">
        <v>45371</v>
      </c>
      <c r="C198" s="55">
        <v>45352</v>
      </c>
      <c r="D198" s="34" t="s">
        <v>41</v>
      </c>
      <c r="E198" s="34" t="s">
        <v>383</v>
      </c>
      <c r="F198" s="34"/>
      <c r="G198" s="34" t="s">
        <v>75</v>
      </c>
      <c r="H198" s="31">
        <v>1000238</v>
      </c>
      <c r="I198" s="34" t="s">
        <v>42</v>
      </c>
      <c r="J198" s="34" t="s">
        <v>276</v>
      </c>
      <c r="K198" s="31" t="s">
        <v>263</v>
      </c>
      <c r="L198" s="34" t="s">
        <v>222</v>
      </c>
      <c r="M198" s="31">
        <v>7901</v>
      </c>
      <c r="N198" s="31">
        <v>371065</v>
      </c>
      <c r="O198" s="34">
        <v>10789039</v>
      </c>
      <c r="P198" s="57">
        <v>1</v>
      </c>
      <c r="Q198" s="57" t="s">
        <v>26</v>
      </c>
      <c r="R198" s="58">
        <v>47.4</v>
      </c>
      <c r="S198" s="59">
        <v>47.4</v>
      </c>
    </row>
    <row r="199" spans="1:19" s="4" customFormat="1" ht="15" hidden="1" customHeight="1" x14ac:dyDescent="0.2">
      <c r="A199" s="29">
        <v>236</v>
      </c>
      <c r="B199" s="56">
        <v>45362</v>
      </c>
      <c r="C199" s="55">
        <v>45352</v>
      </c>
      <c r="D199" s="34" t="s">
        <v>27</v>
      </c>
      <c r="E199" s="34" t="s">
        <v>260</v>
      </c>
      <c r="F199" s="34"/>
      <c r="G199" s="34" t="s">
        <v>29</v>
      </c>
      <c r="H199" s="31">
        <v>1000287</v>
      </c>
      <c r="I199" s="34" t="s">
        <v>30</v>
      </c>
      <c r="J199" s="34" t="s">
        <v>261</v>
      </c>
      <c r="K199" s="31">
        <v>4063</v>
      </c>
      <c r="L199" s="34" t="s">
        <v>243</v>
      </c>
      <c r="M199" s="31" t="s">
        <v>244</v>
      </c>
      <c r="N199" s="31">
        <v>375030</v>
      </c>
      <c r="O199" s="34">
        <v>10787851</v>
      </c>
      <c r="P199" s="57">
        <v>217.6</v>
      </c>
      <c r="Q199" s="57" t="s">
        <v>34</v>
      </c>
      <c r="R199" s="58">
        <v>13.69</v>
      </c>
      <c r="S199" s="59">
        <v>2978.944</v>
      </c>
    </row>
    <row r="200" spans="1:19" s="4" customFormat="1" ht="15" hidden="1" customHeight="1" x14ac:dyDescent="0.2">
      <c r="A200" s="29">
        <v>238</v>
      </c>
      <c r="B200" s="56">
        <v>45364</v>
      </c>
      <c r="C200" s="55">
        <v>45352</v>
      </c>
      <c r="D200" s="34" t="s">
        <v>27</v>
      </c>
      <c r="E200" s="34" t="s">
        <v>19</v>
      </c>
      <c r="F200" s="34"/>
      <c r="G200" s="34" t="s">
        <v>29</v>
      </c>
      <c r="H200" s="31">
        <v>1000287</v>
      </c>
      <c r="I200" s="34" t="s">
        <v>30</v>
      </c>
      <c r="J200" s="34" t="s">
        <v>264</v>
      </c>
      <c r="K200" s="31">
        <v>4068</v>
      </c>
      <c r="L200" s="34" t="s">
        <v>249</v>
      </c>
      <c r="M200" s="31" t="s">
        <v>250</v>
      </c>
      <c r="N200" s="31">
        <v>371075</v>
      </c>
      <c r="O200" s="34">
        <v>10787851</v>
      </c>
      <c r="P200" s="57">
        <v>242.6</v>
      </c>
      <c r="Q200" s="57" t="s">
        <v>34</v>
      </c>
      <c r="R200" s="58">
        <v>13.69</v>
      </c>
      <c r="S200" s="59">
        <v>3321.194</v>
      </c>
    </row>
    <row r="201" spans="1:19" s="4" customFormat="1" ht="15" hidden="1" customHeight="1" x14ac:dyDescent="0.2">
      <c r="A201" s="29">
        <v>240</v>
      </c>
      <c r="B201" s="56">
        <v>45364</v>
      </c>
      <c r="C201" s="55">
        <v>45352</v>
      </c>
      <c r="D201" s="34" t="s">
        <v>27</v>
      </c>
      <c r="E201" s="34" t="s">
        <v>52</v>
      </c>
      <c r="F201" s="34"/>
      <c r="G201" s="34" t="s">
        <v>29</v>
      </c>
      <c r="H201" s="31">
        <v>1000287</v>
      </c>
      <c r="I201" s="34" t="s">
        <v>30</v>
      </c>
      <c r="J201" s="34" t="s">
        <v>265</v>
      </c>
      <c r="K201" s="31">
        <v>4071</v>
      </c>
      <c r="L201" s="34" t="s">
        <v>144</v>
      </c>
      <c r="M201" s="31" t="s">
        <v>145</v>
      </c>
      <c r="N201" s="31">
        <v>371055</v>
      </c>
      <c r="O201" s="34">
        <v>10787851</v>
      </c>
      <c r="P201" s="57">
        <v>285.5</v>
      </c>
      <c r="Q201" s="57" t="s">
        <v>34</v>
      </c>
      <c r="R201" s="58">
        <v>13.69</v>
      </c>
      <c r="S201" s="59">
        <v>3908.4949999999999</v>
      </c>
    </row>
    <row r="202" spans="1:19" s="4" customFormat="1" ht="15" hidden="1" customHeight="1" x14ac:dyDescent="0.2">
      <c r="A202" s="29">
        <v>240</v>
      </c>
      <c r="B202" s="56">
        <v>45364</v>
      </c>
      <c r="C202" s="55">
        <v>45352</v>
      </c>
      <c r="D202" s="34" t="s">
        <v>35</v>
      </c>
      <c r="E202" s="34" t="s">
        <v>52</v>
      </c>
      <c r="F202" s="34"/>
      <c r="G202" s="34" t="s">
        <v>29</v>
      </c>
      <c r="H202" s="31">
        <v>1000287</v>
      </c>
      <c r="I202" s="34" t="s">
        <v>30</v>
      </c>
      <c r="J202" s="34" t="s">
        <v>265</v>
      </c>
      <c r="K202" s="31">
        <v>4071</v>
      </c>
      <c r="L202" s="34" t="s">
        <v>144</v>
      </c>
      <c r="M202" s="31" t="s">
        <v>145</v>
      </c>
      <c r="N202" s="31">
        <v>371055</v>
      </c>
      <c r="O202" s="34">
        <v>10787851</v>
      </c>
      <c r="P202" s="57">
        <v>250</v>
      </c>
      <c r="Q202" s="57" t="s">
        <v>34</v>
      </c>
      <c r="R202" s="58">
        <v>13.69</v>
      </c>
      <c r="S202" s="59">
        <v>3422.5</v>
      </c>
    </row>
    <row r="203" spans="1:19" s="4" customFormat="1" ht="15" hidden="1" customHeight="1" x14ac:dyDescent="0.2">
      <c r="A203" s="29">
        <v>242</v>
      </c>
      <c r="B203" s="56">
        <v>45371</v>
      </c>
      <c r="C203" s="55">
        <v>45352</v>
      </c>
      <c r="D203" s="34" t="s">
        <v>27</v>
      </c>
      <c r="E203" s="34" t="s">
        <v>52</v>
      </c>
      <c r="F203" s="34"/>
      <c r="G203" s="34" t="s">
        <v>29</v>
      </c>
      <c r="H203" s="31">
        <v>1000287</v>
      </c>
      <c r="I203" s="34" t="s">
        <v>30</v>
      </c>
      <c r="J203" s="34" t="s">
        <v>277</v>
      </c>
      <c r="K203" s="31">
        <v>4071</v>
      </c>
      <c r="L203" s="34" t="s">
        <v>144</v>
      </c>
      <c r="M203" s="31" t="s">
        <v>145</v>
      </c>
      <c r="N203" s="31">
        <v>371055</v>
      </c>
      <c r="O203" s="34">
        <v>10787851</v>
      </c>
      <c r="P203" s="57">
        <v>308.3</v>
      </c>
      <c r="Q203" s="57" t="s">
        <v>34</v>
      </c>
      <c r="R203" s="58">
        <v>13.69</v>
      </c>
      <c r="S203" s="59">
        <v>4220.6270000000004</v>
      </c>
    </row>
    <row r="204" spans="1:19" s="4" customFormat="1" ht="15" hidden="1" customHeight="1" x14ac:dyDescent="0.2">
      <c r="A204" s="29">
        <v>244</v>
      </c>
      <c r="B204" s="56">
        <v>45362</v>
      </c>
      <c r="C204" s="55">
        <v>45352</v>
      </c>
      <c r="D204" s="34" t="s">
        <v>41</v>
      </c>
      <c r="E204" s="34" t="s">
        <v>260</v>
      </c>
      <c r="F204" s="34"/>
      <c r="G204" s="34" t="s">
        <v>29</v>
      </c>
      <c r="H204" s="31">
        <v>1000238</v>
      </c>
      <c r="I204" s="34" t="s">
        <v>42</v>
      </c>
      <c r="J204" s="34" t="s">
        <v>262</v>
      </c>
      <c r="K204" s="31" t="s">
        <v>263</v>
      </c>
      <c r="L204" s="34" t="s">
        <v>222</v>
      </c>
      <c r="M204" s="31">
        <v>7901</v>
      </c>
      <c r="N204" s="31">
        <v>375030</v>
      </c>
      <c r="O204" s="34">
        <v>10787851</v>
      </c>
      <c r="P204" s="57">
        <v>1</v>
      </c>
      <c r="Q204" s="57" t="s">
        <v>26</v>
      </c>
      <c r="R204" s="58">
        <v>215.6</v>
      </c>
      <c r="S204" s="59">
        <v>215.6</v>
      </c>
    </row>
    <row r="205" spans="1:19" s="4" customFormat="1" ht="15" hidden="1" customHeight="1" x14ac:dyDescent="0.2">
      <c r="A205" s="29">
        <v>246</v>
      </c>
      <c r="B205" s="56">
        <v>45364</v>
      </c>
      <c r="C205" s="55">
        <v>45352</v>
      </c>
      <c r="D205" s="34" t="s">
        <v>41</v>
      </c>
      <c r="E205" s="34" t="s">
        <v>19</v>
      </c>
      <c r="F205" s="34"/>
      <c r="G205" s="34" t="s">
        <v>29</v>
      </c>
      <c r="H205" s="31">
        <v>1000238</v>
      </c>
      <c r="I205" s="34" t="s">
        <v>42</v>
      </c>
      <c r="J205" s="34" t="s">
        <v>266</v>
      </c>
      <c r="K205" s="31" t="s">
        <v>263</v>
      </c>
      <c r="L205" s="34" t="s">
        <v>222</v>
      </c>
      <c r="M205" s="31">
        <v>7901</v>
      </c>
      <c r="N205" s="31">
        <v>371075</v>
      </c>
      <c r="O205" s="34">
        <v>10787851</v>
      </c>
      <c r="P205" s="57">
        <v>1</v>
      </c>
      <c r="Q205" s="57" t="s">
        <v>26</v>
      </c>
      <c r="R205" s="58">
        <v>211.4</v>
      </c>
      <c r="S205" s="59">
        <v>211.4</v>
      </c>
    </row>
    <row r="206" spans="1:19" s="4" customFormat="1" ht="15" hidden="1" customHeight="1" x14ac:dyDescent="0.2">
      <c r="A206" s="29">
        <v>248</v>
      </c>
      <c r="B206" s="56">
        <v>45364</v>
      </c>
      <c r="C206" s="55">
        <v>45352</v>
      </c>
      <c r="D206" s="34" t="s">
        <v>41</v>
      </c>
      <c r="E206" s="34" t="s">
        <v>52</v>
      </c>
      <c r="F206" s="34"/>
      <c r="G206" s="34" t="s">
        <v>29</v>
      </c>
      <c r="H206" s="31">
        <v>1000238</v>
      </c>
      <c r="I206" s="34" t="s">
        <v>42</v>
      </c>
      <c r="J206" s="34" t="s">
        <v>267</v>
      </c>
      <c r="K206" s="31" t="s">
        <v>263</v>
      </c>
      <c r="L206" s="34" t="s">
        <v>222</v>
      </c>
      <c r="M206" s="31">
        <v>7901</v>
      </c>
      <c r="N206" s="31">
        <v>371055</v>
      </c>
      <c r="O206" s="34">
        <v>10787851</v>
      </c>
      <c r="P206" s="57">
        <v>1</v>
      </c>
      <c r="Q206" s="57" t="s">
        <v>26</v>
      </c>
      <c r="R206" s="58">
        <v>147</v>
      </c>
      <c r="S206" s="59">
        <v>147</v>
      </c>
    </row>
    <row r="207" spans="1:19" s="4" customFormat="1" ht="15" hidden="1" customHeight="1" x14ac:dyDescent="0.2">
      <c r="A207" s="29">
        <v>250</v>
      </c>
      <c r="B207" s="56">
        <v>45371</v>
      </c>
      <c r="C207" s="55">
        <v>45352</v>
      </c>
      <c r="D207" s="34" t="s">
        <v>41</v>
      </c>
      <c r="E207" s="34" t="s">
        <v>52</v>
      </c>
      <c r="F207" s="34"/>
      <c r="G207" s="34" t="s">
        <v>29</v>
      </c>
      <c r="H207" s="31">
        <v>1000238</v>
      </c>
      <c r="I207" s="34" t="s">
        <v>42</v>
      </c>
      <c r="J207" s="34" t="s">
        <v>278</v>
      </c>
      <c r="K207" s="31" t="s">
        <v>263</v>
      </c>
      <c r="L207" s="34" t="s">
        <v>222</v>
      </c>
      <c r="M207" s="31">
        <v>7901</v>
      </c>
      <c r="N207" s="31">
        <v>371055</v>
      </c>
      <c r="O207" s="34">
        <v>10787851</v>
      </c>
      <c r="P207" s="57">
        <v>1</v>
      </c>
      <c r="Q207" s="57" t="s">
        <v>26</v>
      </c>
      <c r="R207" s="58">
        <v>343</v>
      </c>
      <c r="S207" s="59">
        <v>343</v>
      </c>
    </row>
    <row r="208" spans="1:19" s="4" customFormat="1" ht="15" hidden="1" customHeight="1" x14ac:dyDescent="0.2">
      <c r="A208" s="29">
        <v>251</v>
      </c>
      <c r="B208" s="56">
        <v>45371</v>
      </c>
      <c r="C208" s="55">
        <v>45352</v>
      </c>
      <c r="D208" s="34" t="s">
        <v>18</v>
      </c>
      <c r="E208" s="34" t="s">
        <v>19</v>
      </c>
      <c r="F208" s="34"/>
      <c r="G208" s="34" t="s">
        <v>20</v>
      </c>
      <c r="H208" s="31" t="s">
        <v>21</v>
      </c>
      <c r="I208" s="34" t="s">
        <v>22</v>
      </c>
      <c r="J208" s="34" t="s">
        <v>23</v>
      </c>
      <c r="K208" s="31" t="s">
        <v>24</v>
      </c>
      <c r="L208" s="34" t="s">
        <v>263</v>
      </c>
      <c r="M208" s="31" t="s">
        <v>24</v>
      </c>
      <c r="N208" s="31">
        <v>371075</v>
      </c>
      <c r="O208" s="34" t="s">
        <v>25</v>
      </c>
      <c r="P208" s="57">
        <v>1</v>
      </c>
      <c r="Q208" s="57" t="s">
        <v>26</v>
      </c>
      <c r="R208" s="58">
        <v>197143.78</v>
      </c>
      <c r="S208" s="59">
        <v>197143.78</v>
      </c>
    </row>
    <row r="209" spans="1:19" s="4" customFormat="1" ht="15" hidden="1" customHeight="1" x14ac:dyDescent="0.2">
      <c r="A209" s="29">
        <v>251</v>
      </c>
      <c r="B209" s="56">
        <v>45402</v>
      </c>
      <c r="C209" s="55">
        <v>45383</v>
      </c>
      <c r="D209" s="34" t="s">
        <v>18</v>
      </c>
      <c r="E209" s="34" t="s">
        <v>19</v>
      </c>
      <c r="F209" s="34"/>
      <c r="G209" s="34" t="s">
        <v>20</v>
      </c>
      <c r="H209" s="31" t="s">
        <v>21</v>
      </c>
      <c r="I209" s="34" t="s">
        <v>22</v>
      </c>
      <c r="J209" s="34" t="s">
        <v>23</v>
      </c>
      <c r="K209" s="31" t="s">
        <v>24</v>
      </c>
      <c r="L209" s="34" t="s">
        <v>263</v>
      </c>
      <c r="M209" s="31" t="s">
        <v>24</v>
      </c>
      <c r="N209" s="31">
        <v>371075</v>
      </c>
      <c r="O209" s="34" t="s">
        <v>25</v>
      </c>
      <c r="P209" s="57">
        <v>1</v>
      </c>
      <c r="Q209" s="57" t="s">
        <v>26</v>
      </c>
      <c r="R209" s="58">
        <v>53367.197999999997</v>
      </c>
      <c r="S209" s="59">
        <v>53367.197999999997</v>
      </c>
    </row>
    <row r="210" spans="1:19" s="4" customFormat="1" ht="15" hidden="1" customHeight="1" x14ac:dyDescent="0.2">
      <c r="A210" s="29">
        <v>253</v>
      </c>
      <c r="B210" s="56">
        <v>45373</v>
      </c>
      <c r="C210" s="55">
        <v>45383</v>
      </c>
      <c r="D210" s="34" t="s">
        <v>27</v>
      </c>
      <c r="E210" s="34" t="s">
        <v>74</v>
      </c>
      <c r="F210" s="34"/>
      <c r="G210" s="34" t="s">
        <v>75</v>
      </c>
      <c r="H210" s="31">
        <v>1000287</v>
      </c>
      <c r="I210" s="34" t="s">
        <v>30</v>
      </c>
      <c r="J210" s="34" t="s">
        <v>279</v>
      </c>
      <c r="K210" s="31">
        <v>4002</v>
      </c>
      <c r="L210" s="34" t="s">
        <v>164</v>
      </c>
      <c r="M210" s="31" t="s">
        <v>280</v>
      </c>
      <c r="N210" s="31">
        <v>371045</v>
      </c>
      <c r="O210" s="34">
        <v>10789039</v>
      </c>
      <c r="P210" s="57">
        <v>250</v>
      </c>
      <c r="Q210" s="57" t="s">
        <v>34</v>
      </c>
      <c r="R210" s="58">
        <v>12.28</v>
      </c>
      <c r="S210" s="59">
        <v>3070</v>
      </c>
    </row>
    <row r="211" spans="1:19" s="4" customFormat="1" ht="15" hidden="1" customHeight="1" x14ac:dyDescent="0.2">
      <c r="A211" s="29">
        <v>254</v>
      </c>
      <c r="B211" s="56">
        <v>45373</v>
      </c>
      <c r="C211" s="55">
        <v>45383</v>
      </c>
      <c r="D211" s="34" t="s">
        <v>27</v>
      </c>
      <c r="E211" s="34" t="s">
        <v>74</v>
      </c>
      <c r="F211" s="34"/>
      <c r="G211" s="34" t="s">
        <v>75</v>
      </c>
      <c r="H211" s="31">
        <v>1000287</v>
      </c>
      <c r="I211" s="34" t="s">
        <v>30</v>
      </c>
      <c r="J211" s="34" t="s">
        <v>281</v>
      </c>
      <c r="K211" s="31">
        <v>4106</v>
      </c>
      <c r="L211" s="34" t="s">
        <v>282</v>
      </c>
      <c r="M211" s="31">
        <v>2081</v>
      </c>
      <c r="N211" s="31">
        <v>371045</v>
      </c>
      <c r="O211" s="34">
        <v>10789039</v>
      </c>
      <c r="P211" s="57">
        <v>373</v>
      </c>
      <c r="Q211" s="57" t="s">
        <v>34</v>
      </c>
      <c r="R211" s="58">
        <v>12.28</v>
      </c>
      <c r="S211" s="59">
        <v>4580.4399999999996</v>
      </c>
    </row>
    <row r="212" spans="1:19" s="4" customFormat="1" ht="15" hidden="1" customHeight="1" x14ac:dyDescent="0.2">
      <c r="A212" s="29">
        <v>255</v>
      </c>
      <c r="B212" s="56">
        <v>45373</v>
      </c>
      <c r="C212" s="55">
        <v>45383</v>
      </c>
      <c r="D212" s="34" t="s">
        <v>41</v>
      </c>
      <c r="E212" s="34" t="s">
        <v>74</v>
      </c>
      <c r="F212" s="34"/>
      <c r="G212" s="34" t="s">
        <v>75</v>
      </c>
      <c r="H212" s="31">
        <v>1000238</v>
      </c>
      <c r="I212" s="34" t="s">
        <v>42</v>
      </c>
      <c r="J212" s="34" t="s">
        <v>283</v>
      </c>
      <c r="K212" s="31" t="s">
        <v>263</v>
      </c>
      <c r="L212" s="34" t="s">
        <v>222</v>
      </c>
      <c r="M212" s="31">
        <v>7901</v>
      </c>
      <c r="N212" s="31">
        <v>371045</v>
      </c>
      <c r="O212" s="34">
        <v>10789039</v>
      </c>
      <c r="P212" s="57">
        <v>1</v>
      </c>
      <c r="Q212" s="57" t="s">
        <v>26</v>
      </c>
      <c r="R212" s="58">
        <v>47.4</v>
      </c>
      <c r="S212" s="59">
        <v>47.4</v>
      </c>
    </row>
    <row r="213" spans="1:19" s="4" customFormat="1" ht="15" hidden="1" customHeight="1" x14ac:dyDescent="0.2">
      <c r="A213" s="29">
        <v>256</v>
      </c>
      <c r="B213" s="56">
        <v>45373</v>
      </c>
      <c r="C213" s="55">
        <v>45383</v>
      </c>
      <c r="D213" s="34" t="s">
        <v>41</v>
      </c>
      <c r="E213" s="34" t="s">
        <v>74</v>
      </c>
      <c r="F213" s="34"/>
      <c r="G213" s="34" t="s">
        <v>75</v>
      </c>
      <c r="H213" s="31">
        <v>1000238</v>
      </c>
      <c r="I213" s="34" t="s">
        <v>42</v>
      </c>
      <c r="J213" s="34" t="s">
        <v>284</v>
      </c>
      <c r="K213" s="31" t="s">
        <v>263</v>
      </c>
      <c r="L213" s="34" t="s">
        <v>222</v>
      </c>
      <c r="M213" s="31">
        <v>7901</v>
      </c>
      <c r="N213" s="31">
        <v>371045</v>
      </c>
      <c r="O213" s="34">
        <v>10789039</v>
      </c>
      <c r="P213" s="57">
        <v>1</v>
      </c>
      <c r="Q213" s="57" t="s">
        <v>26</v>
      </c>
      <c r="R213" s="58">
        <v>358.59</v>
      </c>
      <c r="S213" s="59">
        <v>358.59</v>
      </c>
    </row>
    <row r="214" spans="1:19" s="4" customFormat="1" ht="15" hidden="1" customHeight="1" x14ac:dyDescent="0.2">
      <c r="A214" s="29">
        <v>257</v>
      </c>
      <c r="B214" s="56">
        <v>45374</v>
      </c>
      <c r="C214" s="55">
        <v>45383</v>
      </c>
      <c r="D214" s="34" t="s">
        <v>27</v>
      </c>
      <c r="E214" s="34" t="s">
        <v>383</v>
      </c>
      <c r="F214" s="34"/>
      <c r="G214" s="34" t="s">
        <v>75</v>
      </c>
      <c r="H214" s="31">
        <v>1000287</v>
      </c>
      <c r="I214" s="34" t="s">
        <v>30</v>
      </c>
      <c r="J214" s="34" t="s">
        <v>279</v>
      </c>
      <c r="K214" s="31">
        <v>4002</v>
      </c>
      <c r="L214" s="34" t="s">
        <v>164</v>
      </c>
      <c r="M214" s="31" t="s">
        <v>280</v>
      </c>
      <c r="N214" s="31">
        <v>371065</v>
      </c>
      <c r="O214" s="34">
        <v>10789039</v>
      </c>
      <c r="P214" s="57">
        <v>250</v>
      </c>
      <c r="Q214" s="57" t="s">
        <v>34</v>
      </c>
      <c r="R214" s="58">
        <v>12.28</v>
      </c>
      <c r="S214" s="59">
        <v>3070</v>
      </c>
    </row>
    <row r="215" spans="1:19" s="4" customFormat="1" ht="15" hidden="1" customHeight="1" x14ac:dyDescent="0.2">
      <c r="A215" s="29">
        <v>258</v>
      </c>
      <c r="B215" s="56">
        <v>45374</v>
      </c>
      <c r="C215" s="55">
        <v>45383</v>
      </c>
      <c r="D215" s="34" t="s">
        <v>27</v>
      </c>
      <c r="E215" s="34" t="s">
        <v>383</v>
      </c>
      <c r="F215" s="34"/>
      <c r="G215" s="34" t="s">
        <v>75</v>
      </c>
      <c r="H215" s="31">
        <v>1000287</v>
      </c>
      <c r="I215" s="34" t="s">
        <v>30</v>
      </c>
      <c r="J215" s="34" t="s">
        <v>279</v>
      </c>
      <c r="K215" s="31">
        <v>4002</v>
      </c>
      <c r="L215" s="34" t="s">
        <v>164</v>
      </c>
      <c r="M215" s="31" t="s">
        <v>280</v>
      </c>
      <c r="N215" s="31">
        <v>371065</v>
      </c>
      <c r="O215" s="34">
        <v>10789039</v>
      </c>
      <c r="P215" s="57">
        <v>250</v>
      </c>
      <c r="Q215" s="57" t="s">
        <v>34</v>
      </c>
      <c r="R215" s="58">
        <v>12.28</v>
      </c>
      <c r="S215" s="59">
        <v>3070</v>
      </c>
    </row>
    <row r="216" spans="1:19" s="4" customFormat="1" ht="15" hidden="1" customHeight="1" x14ac:dyDescent="0.2">
      <c r="A216" s="29">
        <v>259</v>
      </c>
      <c r="B216" s="56">
        <v>45374</v>
      </c>
      <c r="C216" s="55">
        <v>45383</v>
      </c>
      <c r="D216" s="34" t="s">
        <v>27</v>
      </c>
      <c r="E216" s="34" t="s">
        <v>383</v>
      </c>
      <c r="F216" s="34"/>
      <c r="G216" s="34" t="s">
        <v>75</v>
      </c>
      <c r="H216" s="31">
        <v>1000287</v>
      </c>
      <c r="I216" s="34" t="s">
        <v>30</v>
      </c>
      <c r="J216" s="34" t="s">
        <v>279</v>
      </c>
      <c r="K216" s="31">
        <v>4002</v>
      </c>
      <c r="L216" s="34" t="s">
        <v>164</v>
      </c>
      <c r="M216" s="31" t="s">
        <v>280</v>
      </c>
      <c r="N216" s="31">
        <v>371065</v>
      </c>
      <c r="O216" s="34">
        <v>10789039</v>
      </c>
      <c r="P216" s="57">
        <v>250</v>
      </c>
      <c r="Q216" s="57" t="s">
        <v>34</v>
      </c>
      <c r="R216" s="58">
        <v>12.28</v>
      </c>
      <c r="S216" s="59">
        <v>3070</v>
      </c>
    </row>
    <row r="217" spans="1:19" s="4" customFormat="1" ht="15" hidden="1" customHeight="1" x14ac:dyDescent="0.2">
      <c r="A217" s="29">
        <v>260</v>
      </c>
      <c r="B217" s="56">
        <v>45374</v>
      </c>
      <c r="C217" s="55">
        <v>45383</v>
      </c>
      <c r="D217" s="34" t="s">
        <v>41</v>
      </c>
      <c r="E217" s="34" t="s">
        <v>383</v>
      </c>
      <c r="F217" s="34"/>
      <c r="G217" s="34" t="s">
        <v>75</v>
      </c>
      <c r="H217" s="31">
        <v>1000238</v>
      </c>
      <c r="I217" s="34" t="s">
        <v>42</v>
      </c>
      <c r="J217" s="34" t="s">
        <v>283</v>
      </c>
      <c r="K217" s="31" t="s">
        <v>263</v>
      </c>
      <c r="L217" s="34" t="s">
        <v>222</v>
      </c>
      <c r="M217" s="31">
        <v>7901</v>
      </c>
      <c r="N217" s="31">
        <v>371065</v>
      </c>
      <c r="O217" s="34">
        <v>10789039</v>
      </c>
      <c r="P217" s="57">
        <v>1</v>
      </c>
      <c r="Q217" s="57" t="s">
        <v>26</v>
      </c>
      <c r="R217" s="58">
        <v>94.8</v>
      </c>
      <c r="S217" s="59">
        <v>94.8</v>
      </c>
    </row>
    <row r="218" spans="1:19" s="4" customFormat="1" ht="15" hidden="1" customHeight="1" x14ac:dyDescent="0.2">
      <c r="A218" s="29">
        <v>261</v>
      </c>
      <c r="B218" s="56">
        <v>45374</v>
      </c>
      <c r="C218" s="55">
        <v>45383</v>
      </c>
      <c r="D218" s="34" t="s">
        <v>41</v>
      </c>
      <c r="E218" s="34" t="s">
        <v>383</v>
      </c>
      <c r="F218" s="34"/>
      <c r="G218" s="34" t="s">
        <v>75</v>
      </c>
      <c r="H218" s="31">
        <v>1000238</v>
      </c>
      <c r="I218" s="34" t="s">
        <v>42</v>
      </c>
      <c r="J218" s="34" t="s">
        <v>283</v>
      </c>
      <c r="K218" s="31" t="s">
        <v>263</v>
      </c>
      <c r="L218" s="34" t="s">
        <v>222</v>
      </c>
      <c r="M218" s="31">
        <v>7901</v>
      </c>
      <c r="N218" s="31">
        <v>371065</v>
      </c>
      <c r="O218" s="34">
        <v>10789039</v>
      </c>
      <c r="P218" s="57">
        <v>1</v>
      </c>
      <c r="Q218" s="57" t="s">
        <v>26</v>
      </c>
      <c r="R218" s="58">
        <v>94.8</v>
      </c>
      <c r="S218" s="59">
        <v>94.8</v>
      </c>
    </row>
    <row r="219" spans="1:19" s="4" customFormat="1" ht="15" hidden="1" customHeight="1" x14ac:dyDescent="0.2">
      <c r="A219" s="29">
        <v>262</v>
      </c>
      <c r="B219" s="56">
        <v>45374</v>
      </c>
      <c r="C219" s="55">
        <v>45383</v>
      </c>
      <c r="D219" s="34" t="s">
        <v>41</v>
      </c>
      <c r="E219" s="34" t="s">
        <v>383</v>
      </c>
      <c r="F219" s="34"/>
      <c r="G219" s="34" t="s">
        <v>75</v>
      </c>
      <c r="H219" s="31">
        <v>1000238</v>
      </c>
      <c r="I219" s="34" t="s">
        <v>42</v>
      </c>
      <c r="J219" s="34" t="s">
        <v>283</v>
      </c>
      <c r="K219" s="31" t="s">
        <v>263</v>
      </c>
      <c r="L219" s="34" t="s">
        <v>222</v>
      </c>
      <c r="M219" s="31">
        <v>7901</v>
      </c>
      <c r="N219" s="31">
        <v>371065</v>
      </c>
      <c r="O219" s="34">
        <v>10789039</v>
      </c>
      <c r="P219" s="57">
        <v>1</v>
      </c>
      <c r="Q219" s="57" t="s">
        <v>26</v>
      </c>
      <c r="R219" s="58">
        <v>71.099999999999994</v>
      </c>
      <c r="S219" s="59">
        <v>71.099999999999994</v>
      </c>
    </row>
    <row r="220" spans="1:19" s="4" customFormat="1" ht="15" hidden="1" customHeight="1" x14ac:dyDescent="0.2">
      <c r="A220" s="29">
        <v>263</v>
      </c>
      <c r="B220" s="56">
        <v>45375</v>
      </c>
      <c r="C220" s="55">
        <v>45383</v>
      </c>
      <c r="D220" s="34" t="s">
        <v>27</v>
      </c>
      <c r="E220" s="34" t="s">
        <v>383</v>
      </c>
      <c r="F220" s="34"/>
      <c r="G220" s="34" t="s">
        <v>75</v>
      </c>
      <c r="H220" s="31">
        <v>1000287</v>
      </c>
      <c r="I220" s="34" t="s">
        <v>30</v>
      </c>
      <c r="J220" s="34" t="s">
        <v>281</v>
      </c>
      <c r="K220" s="31">
        <v>4106</v>
      </c>
      <c r="L220" s="34" t="s">
        <v>282</v>
      </c>
      <c r="M220" s="31">
        <v>2081</v>
      </c>
      <c r="N220" s="31">
        <v>371065</v>
      </c>
      <c r="O220" s="34">
        <v>10789039</v>
      </c>
      <c r="P220" s="57">
        <v>375</v>
      </c>
      <c r="Q220" s="57" t="s">
        <v>34</v>
      </c>
      <c r="R220" s="58">
        <v>12.28</v>
      </c>
      <c r="S220" s="59">
        <v>4605</v>
      </c>
    </row>
    <row r="221" spans="1:19" s="4" customFormat="1" ht="15" hidden="1" customHeight="1" x14ac:dyDescent="0.2">
      <c r="A221" s="29">
        <v>264</v>
      </c>
      <c r="B221" s="56">
        <v>45375</v>
      </c>
      <c r="C221" s="55">
        <v>45383</v>
      </c>
      <c r="D221" s="34" t="s">
        <v>27</v>
      </c>
      <c r="E221" s="34" t="s">
        <v>383</v>
      </c>
      <c r="F221" s="34"/>
      <c r="G221" s="34" t="s">
        <v>75</v>
      </c>
      <c r="H221" s="31">
        <v>1000287</v>
      </c>
      <c r="I221" s="34" t="s">
        <v>30</v>
      </c>
      <c r="J221" s="34" t="s">
        <v>281</v>
      </c>
      <c r="K221" s="31">
        <v>4106</v>
      </c>
      <c r="L221" s="34" t="s">
        <v>282</v>
      </c>
      <c r="M221" s="31">
        <v>2081</v>
      </c>
      <c r="N221" s="31">
        <v>371065</v>
      </c>
      <c r="O221" s="34">
        <v>10789039</v>
      </c>
      <c r="P221" s="57">
        <v>371</v>
      </c>
      <c r="Q221" s="57" t="s">
        <v>34</v>
      </c>
      <c r="R221" s="58">
        <v>12.28</v>
      </c>
      <c r="S221" s="59">
        <v>4555.88</v>
      </c>
    </row>
    <row r="222" spans="1:19" s="4" customFormat="1" ht="15" hidden="1" customHeight="1" x14ac:dyDescent="0.2">
      <c r="A222" s="29">
        <v>265</v>
      </c>
      <c r="B222" s="56">
        <v>45375</v>
      </c>
      <c r="C222" s="55">
        <v>45383</v>
      </c>
      <c r="D222" s="34" t="s">
        <v>41</v>
      </c>
      <c r="E222" s="34" t="s">
        <v>383</v>
      </c>
      <c r="F222" s="34"/>
      <c r="G222" s="34" t="s">
        <v>75</v>
      </c>
      <c r="H222" s="31">
        <v>1000238</v>
      </c>
      <c r="I222" s="34" t="s">
        <v>42</v>
      </c>
      <c r="J222" s="34" t="s">
        <v>284</v>
      </c>
      <c r="K222" s="31" t="s">
        <v>263</v>
      </c>
      <c r="L222" s="34" t="s">
        <v>222</v>
      </c>
      <c r="M222" s="31">
        <v>7901</v>
      </c>
      <c r="N222" s="31">
        <v>371065</v>
      </c>
      <c r="O222" s="34">
        <v>10789039</v>
      </c>
      <c r="P222" s="57">
        <v>1</v>
      </c>
      <c r="Q222" s="57" t="s">
        <v>26</v>
      </c>
      <c r="R222" s="58">
        <v>358.59</v>
      </c>
      <c r="S222" s="59">
        <v>358.59</v>
      </c>
    </row>
    <row r="223" spans="1:19" s="4" customFormat="1" ht="15" hidden="1" customHeight="1" x14ac:dyDescent="0.2">
      <c r="A223" s="29">
        <v>266</v>
      </c>
      <c r="B223" s="56">
        <v>45375</v>
      </c>
      <c r="C223" s="55">
        <v>45383</v>
      </c>
      <c r="D223" s="34" t="s">
        <v>41</v>
      </c>
      <c r="E223" s="34" t="s">
        <v>383</v>
      </c>
      <c r="F223" s="34"/>
      <c r="G223" s="34" t="s">
        <v>75</v>
      </c>
      <c r="H223" s="31">
        <v>1000238</v>
      </c>
      <c r="I223" s="34" t="s">
        <v>42</v>
      </c>
      <c r="J223" s="34" t="s">
        <v>284</v>
      </c>
      <c r="K223" s="31" t="s">
        <v>263</v>
      </c>
      <c r="L223" s="34" t="s">
        <v>222</v>
      </c>
      <c r="M223" s="31">
        <v>7901</v>
      </c>
      <c r="N223" s="31">
        <v>371065</v>
      </c>
      <c r="O223" s="34">
        <v>10789039</v>
      </c>
      <c r="P223" s="57">
        <v>1</v>
      </c>
      <c r="Q223" s="57" t="s">
        <v>26</v>
      </c>
      <c r="R223" s="58">
        <v>274.02999999999997</v>
      </c>
      <c r="S223" s="59">
        <v>274.02999999999997</v>
      </c>
    </row>
    <row r="224" spans="1:19" s="4" customFormat="1" ht="15" hidden="1" customHeight="1" x14ac:dyDescent="0.2">
      <c r="A224" s="29">
        <v>267</v>
      </c>
      <c r="B224" s="56">
        <v>45304</v>
      </c>
      <c r="C224" s="55">
        <v>45292</v>
      </c>
      <c r="D224" s="34" t="s">
        <v>285</v>
      </c>
      <c r="E224" s="34" t="s">
        <v>286</v>
      </c>
      <c r="F224" s="34"/>
      <c r="G224" s="34" t="s">
        <v>287</v>
      </c>
      <c r="H224" s="31" t="s">
        <v>288</v>
      </c>
      <c r="I224" s="34" t="s">
        <v>289</v>
      </c>
      <c r="J224" s="34" t="s">
        <v>290</v>
      </c>
      <c r="K224" s="31" t="s">
        <v>263</v>
      </c>
      <c r="L224" s="34" t="s">
        <v>222</v>
      </c>
      <c r="M224" s="31">
        <v>7901</v>
      </c>
      <c r="N224" s="31">
        <v>371011</v>
      </c>
      <c r="O224" s="34">
        <v>10792042</v>
      </c>
      <c r="P224" s="57">
        <v>1</v>
      </c>
      <c r="Q224" s="57" t="s">
        <v>26</v>
      </c>
      <c r="R224" s="58">
        <v>1855</v>
      </c>
      <c r="S224" s="59">
        <v>1855</v>
      </c>
    </row>
    <row r="225" spans="1:19" s="4" customFormat="1" ht="15" hidden="1" customHeight="1" x14ac:dyDescent="0.2">
      <c r="A225" s="29">
        <v>268</v>
      </c>
      <c r="B225" s="56">
        <v>45373</v>
      </c>
      <c r="C225" s="55">
        <v>45352</v>
      </c>
      <c r="D225" s="34" t="s">
        <v>285</v>
      </c>
      <c r="E225" s="34" t="s">
        <v>74</v>
      </c>
      <c r="F225" s="34"/>
      <c r="G225" s="34" t="s">
        <v>287</v>
      </c>
      <c r="H225" s="31" t="s">
        <v>288</v>
      </c>
      <c r="I225" s="34" t="s">
        <v>289</v>
      </c>
      <c r="J225" s="34" t="s">
        <v>291</v>
      </c>
      <c r="K225" s="31" t="s">
        <v>263</v>
      </c>
      <c r="L225" s="34" t="s">
        <v>222</v>
      </c>
      <c r="M225" s="31">
        <v>7901</v>
      </c>
      <c r="N225" s="31">
        <v>371045</v>
      </c>
      <c r="O225" s="34">
        <v>10792042</v>
      </c>
      <c r="P225" s="57">
        <v>1</v>
      </c>
      <c r="Q225" s="57" t="s">
        <v>26</v>
      </c>
      <c r="R225" s="58">
        <v>285</v>
      </c>
      <c r="S225" s="59">
        <v>285</v>
      </c>
    </row>
    <row r="226" spans="1:19" s="4" customFormat="1" ht="15" hidden="1" customHeight="1" x14ac:dyDescent="0.2">
      <c r="A226" s="29">
        <v>269</v>
      </c>
      <c r="B226" s="56">
        <v>45373</v>
      </c>
      <c r="C226" s="55">
        <v>45352</v>
      </c>
      <c r="D226" s="34" t="s">
        <v>285</v>
      </c>
      <c r="E226" s="34" t="s">
        <v>74</v>
      </c>
      <c r="F226" s="34"/>
      <c r="G226" s="34" t="s">
        <v>287</v>
      </c>
      <c r="H226" s="31" t="s">
        <v>288</v>
      </c>
      <c r="I226" s="34" t="s">
        <v>289</v>
      </c>
      <c r="J226" s="34" t="s">
        <v>292</v>
      </c>
      <c r="K226" s="31" t="s">
        <v>263</v>
      </c>
      <c r="L226" s="34" t="s">
        <v>222</v>
      </c>
      <c r="M226" s="31">
        <v>7901</v>
      </c>
      <c r="N226" s="31">
        <v>371045</v>
      </c>
      <c r="O226" s="34">
        <v>10792042</v>
      </c>
      <c r="P226" s="57">
        <v>5</v>
      </c>
      <c r="Q226" s="57" t="s">
        <v>26</v>
      </c>
      <c r="R226" s="58">
        <v>74.8</v>
      </c>
      <c r="S226" s="59">
        <v>374</v>
      </c>
    </row>
    <row r="227" spans="1:19" s="4" customFormat="1" ht="15" hidden="1" customHeight="1" x14ac:dyDescent="0.2">
      <c r="A227" s="29">
        <v>270</v>
      </c>
      <c r="B227" s="56">
        <v>45377</v>
      </c>
      <c r="C227" s="55">
        <v>45352</v>
      </c>
      <c r="D227" s="34" t="s">
        <v>285</v>
      </c>
      <c r="E227" s="34" t="s">
        <v>28</v>
      </c>
      <c r="F227" s="34"/>
      <c r="G227" s="34" t="s">
        <v>287</v>
      </c>
      <c r="H227" s="31" t="s">
        <v>288</v>
      </c>
      <c r="I227" s="34" t="s">
        <v>289</v>
      </c>
      <c r="J227" s="34" t="s">
        <v>293</v>
      </c>
      <c r="K227" s="31" t="s">
        <v>263</v>
      </c>
      <c r="L227" s="34" t="s">
        <v>222</v>
      </c>
      <c r="M227" s="31">
        <v>7901</v>
      </c>
      <c r="N227" s="31">
        <v>371094</v>
      </c>
      <c r="O227" s="34">
        <v>10792042</v>
      </c>
      <c r="P227" s="57">
        <v>1</v>
      </c>
      <c r="Q227" s="57" t="s">
        <v>26</v>
      </c>
      <c r="R227" s="58">
        <v>127</v>
      </c>
      <c r="S227" s="59">
        <v>127</v>
      </c>
    </row>
    <row r="228" spans="1:19" s="4" customFormat="1" ht="15" hidden="1" customHeight="1" x14ac:dyDescent="0.2">
      <c r="A228" s="29">
        <v>271</v>
      </c>
      <c r="B228" s="56">
        <v>45375</v>
      </c>
      <c r="C228" s="55">
        <v>45352</v>
      </c>
      <c r="D228" s="34" t="s">
        <v>285</v>
      </c>
      <c r="E228" s="34" t="s">
        <v>74</v>
      </c>
      <c r="F228" s="34"/>
      <c r="G228" s="34" t="s">
        <v>287</v>
      </c>
      <c r="H228" s="31" t="s">
        <v>288</v>
      </c>
      <c r="I228" s="34" t="s">
        <v>289</v>
      </c>
      <c r="J228" s="34" t="s">
        <v>293</v>
      </c>
      <c r="K228" s="31" t="s">
        <v>263</v>
      </c>
      <c r="L228" s="34" t="s">
        <v>222</v>
      </c>
      <c r="M228" s="31">
        <v>7901</v>
      </c>
      <c r="N228" s="31">
        <v>371045</v>
      </c>
      <c r="O228" s="34">
        <v>10792042</v>
      </c>
      <c r="P228" s="57">
        <v>1</v>
      </c>
      <c r="Q228" s="57" t="s">
        <v>26</v>
      </c>
      <c r="R228" s="58">
        <v>127</v>
      </c>
      <c r="S228" s="59">
        <v>127</v>
      </c>
    </row>
    <row r="229" spans="1:19" s="4" customFormat="1" ht="15" hidden="1" customHeight="1" x14ac:dyDescent="0.2">
      <c r="A229" s="29">
        <v>272</v>
      </c>
      <c r="B229" s="56">
        <v>45375</v>
      </c>
      <c r="C229" s="55">
        <v>45352</v>
      </c>
      <c r="D229" s="34" t="s">
        <v>285</v>
      </c>
      <c r="E229" s="34" t="s">
        <v>74</v>
      </c>
      <c r="F229" s="34"/>
      <c r="G229" s="34" t="s">
        <v>287</v>
      </c>
      <c r="H229" s="31" t="s">
        <v>288</v>
      </c>
      <c r="I229" s="34" t="s">
        <v>289</v>
      </c>
      <c r="J229" s="34" t="s">
        <v>294</v>
      </c>
      <c r="K229" s="31" t="s">
        <v>263</v>
      </c>
      <c r="L229" s="34" t="s">
        <v>222</v>
      </c>
      <c r="M229" s="31">
        <v>7901</v>
      </c>
      <c r="N229" s="31">
        <v>371045</v>
      </c>
      <c r="O229" s="34">
        <v>10792042</v>
      </c>
      <c r="P229" s="57">
        <v>1</v>
      </c>
      <c r="Q229" s="57" t="s">
        <v>26</v>
      </c>
      <c r="R229" s="58">
        <v>68.459999999999994</v>
      </c>
      <c r="S229" s="59">
        <v>68.459999999999994</v>
      </c>
    </row>
    <row r="230" spans="1:19" s="4" customFormat="1" ht="15" hidden="1" customHeight="1" x14ac:dyDescent="0.2">
      <c r="A230" s="29">
        <v>273</v>
      </c>
      <c r="B230" s="56">
        <v>45375</v>
      </c>
      <c r="C230" s="55">
        <v>45352</v>
      </c>
      <c r="D230" s="34" t="s">
        <v>285</v>
      </c>
      <c r="E230" s="34" t="s">
        <v>74</v>
      </c>
      <c r="F230" s="34"/>
      <c r="G230" s="34" t="s">
        <v>287</v>
      </c>
      <c r="H230" s="31" t="s">
        <v>288</v>
      </c>
      <c r="I230" s="34" t="s">
        <v>289</v>
      </c>
      <c r="J230" s="34" t="s">
        <v>293</v>
      </c>
      <c r="K230" s="31" t="s">
        <v>263</v>
      </c>
      <c r="L230" s="34" t="s">
        <v>222</v>
      </c>
      <c r="M230" s="31">
        <v>7901</v>
      </c>
      <c r="N230" s="31">
        <v>371045</v>
      </c>
      <c r="O230" s="34">
        <v>10792042</v>
      </c>
      <c r="P230" s="57">
        <v>1</v>
      </c>
      <c r="Q230" s="57" t="s">
        <v>26</v>
      </c>
      <c r="R230" s="58">
        <v>127</v>
      </c>
      <c r="S230" s="59">
        <v>127</v>
      </c>
    </row>
    <row r="231" spans="1:19" s="4" customFormat="1" ht="15" hidden="1" customHeight="1" x14ac:dyDescent="0.2">
      <c r="A231" s="29">
        <v>274</v>
      </c>
      <c r="B231" s="56">
        <v>45375</v>
      </c>
      <c r="C231" s="55">
        <v>45352</v>
      </c>
      <c r="D231" s="34" t="s">
        <v>285</v>
      </c>
      <c r="E231" s="34" t="s">
        <v>74</v>
      </c>
      <c r="F231" s="34"/>
      <c r="G231" s="34" t="s">
        <v>287</v>
      </c>
      <c r="H231" s="31" t="s">
        <v>288</v>
      </c>
      <c r="I231" s="34" t="s">
        <v>289</v>
      </c>
      <c r="J231" s="34" t="s">
        <v>295</v>
      </c>
      <c r="K231" s="31" t="s">
        <v>263</v>
      </c>
      <c r="L231" s="34" t="s">
        <v>222</v>
      </c>
      <c r="M231" s="31">
        <v>7901</v>
      </c>
      <c r="N231" s="31">
        <v>371045</v>
      </c>
      <c r="O231" s="34">
        <v>10792042</v>
      </c>
      <c r="P231" s="57">
        <v>1</v>
      </c>
      <c r="Q231" s="57" t="s">
        <v>26</v>
      </c>
      <c r="R231" s="58">
        <v>238</v>
      </c>
      <c r="S231" s="59">
        <v>238</v>
      </c>
    </row>
    <row r="232" spans="1:19" s="4" customFormat="1" ht="15" hidden="1" customHeight="1" x14ac:dyDescent="0.2">
      <c r="A232" s="29">
        <v>275</v>
      </c>
      <c r="B232" s="56">
        <v>45375</v>
      </c>
      <c r="C232" s="55">
        <v>45352</v>
      </c>
      <c r="D232" s="34" t="s">
        <v>285</v>
      </c>
      <c r="E232" s="34" t="s">
        <v>74</v>
      </c>
      <c r="F232" s="34"/>
      <c r="G232" s="34" t="s">
        <v>287</v>
      </c>
      <c r="H232" s="31" t="s">
        <v>288</v>
      </c>
      <c r="I232" s="34" t="s">
        <v>289</v>
      </c>
      <c r="J232" s="34" t="s">
        <v>292</v>
      </c>
      <c r="K232" s="31" t="s">
        <v>263</v>
      </c>
      <c r="L232" s="34" t="s">
        <v>222</v>
      </c>
      <c r="M232" s="31">
        <v>7901</v>
      </c>
      <c r="N232" s="31">
        <v>371045</v>
      </c>
      <c r="O232" s="34">
        <v>10792042</v>
      </c>
      <c r="P232" s="57">
        <v>3</v>
      </c>
      <c r="Q232" s="57" t="s">
        <v>26</v>
      </c>
      <c r="R232" s="58">
        <v>74.8</v>
      </c>
      <c r="S232" s="59">
        <v>224.39999999999998</v>
      </c>
    </row>
    <row r="233" spans="1:19" s="4" customFormat="1" ht="15" hidden="1" customHeight="1" x14ac:dyDescent="0.2">
      <c r="A233" s="29">
        <v>276</v>
      </c>
      <c r="B233" s="56">
        <v>45375</v>
      </c>
      <c r="C233" s="55">
        <v>45352</v>
      </c>
      <c r="D233" s="34" t="s">
        <v>285</v>
      </c>
      <c r="E233" s="34" t="s">
        <v>74</v>
      </c>
      <c r="F233" s="34"/>
      <c r="G233" s="34" t="s">
        <v>287</v>
      </c>
      <c r="H233" s="31" t="s">
        <v>288</v>
      </c>
      <c r="I233" s="34" t="s">
        <v>289</v>
      </c>
      <c r="J233" s="34" t="s">
        <v>296</v>
      </c>
      <c r="K233" s="31" t="s">
        <v>263</v>
      </c>
      <c r="L233" s="34" t="s">
        <v>222</v>
      </c>
      <c r="M233" s="31">
        <v>7901</v>
      </c>
      <c r="N233" s="31">
        <v>371045</v>
      </c>
      <c r="O233" s="34">
        <v>10792042</v>
      </c>
      <c r="P233" s="57">
        <v>1</v>
      </c>
      <c r="Q233" s="57" t="s">
        <v>26</v>
      </c>
      <c r="R233" s="58">
        <v>30</v>
      </c>
      <c r="S233" s="59">
        <v>30</v>
      </c>
    </row>
    <row r="234" spans="1:19" s="4" customFormat="1" ht="15" hidden="1" customHeight="1" x14ac:dyDescent="0.2">
      <c r="A234" s="29">
        <v>277</v>
      </c>
      <c r="B234" s="56">
        <v>45375</v>
      </c>
      <c r="C234" s="55">
        <v>45352</v>
      </c>
      <c r="D234" s="34" t="s">
        <v>285</v>
      </c>
      <c r="E234" s="34" t="s">
        <v>74</v>
      </c>
      <c r="F234" s="34"/>
      <c r="G234" s="34" t="s">
        <v>287</v>
      </c>
      <c r="H234" s="31" t="s">
        <v>288</v>
      </c>
      <c r="I234" s="34" t="s">
        <v>289</v>
      </c>
      <c r="J234" s="34" t="s">
        <v>297</v>
      </c>
      <c r="K234" s="31" t="s">
        <v>263</v>
      </c>
      <c r="L234" s="34" t="s">
        <v>222</v>
      </c>
      <c r="M234" s="31">
        <v>7901</v>
      </c>
      <c r="N234" s="31">
        <v>371045</v>
      </c>
      <c r="O234" s="34">
        <v>10792042</v>
      </c>
      <c r="P234" s="57">
        <v>1</v>
      </c>
      <c r="Q234" s="57" t="s">
        <v>26</v>
      </c>
      <c r="R234" s="58">
        <v>9</v>
      </c>
      <c r="S234" s="59">
        <v>9</v>
      </c>
    </row>
    <row r="235" spans="1:19" s="4" customFormat="1" ht="15" hidden="1" customHeight="1" x14ac:dyDescent="0.2">
      <c r="A235" s="29">
        <v>278</v>
      </c>
      <c r="B235" s="56">
        <v>45375</v>
      </c>
      <c r="C235" s="55">
        <v>45352</v>
      </c>
      <c r="D235" s="34" t="s">
        <v>285</v>
      </c>
      <c r="E235" s="34" t="s">
        <v>74</v>
      </c>
      <c r="F235" s="34"/>
      <c r="G235" s="34" t="s">
        <v>287</v>
      </c>
      <c r="H235" s="31" t="s">
        <v>288</v>
      </c>
      <c r="I235" s="34" t="s">
        <v>289</v>
      </c>
      <c r="J235" s="34" t="s">
        <v>297</v>
      </c>
      <c r="K235" s="31" t="s">
        <v>263</v>
      </c>
      <c r="L235" s="34" t="s">
        <v>222</v>
      </c>
      <c r="M235" s="31">
        <v>7901</v>
      </c>
      <c r="N235" s="31">
        <v>371045</v>
      </c>
      <c r="O235" s="34">
        <v>10792042</v>
      </c>
      <c r="P235" s="57">
        <v>1</v>
      </c>
      <c r="Q235" s="57" t="s">
        <v>26</v>
      </c>
      <c r="R235" s="58">
        <v>9</v>
      </c>
      <c r="S235" s="59">
        <v>9</v>
      </c>
    </row>
    <row r="236" spans="1:19" s="4" customFormat="1" ht="15" hidden="1" customHeight="1" x14ac:dyDescent="0.2">
      <c r="A236" s="29">
        <v>279</v>
      </c>
      <c r="B236" s="56">
        <v>45375</v>
      </c>
      <c r="C236" s="55">
        <v>45352</v>
      </c>
      <c r="D236" s="34" t="s">
        <v>285</v>
      </c>
      <c r="E236" s="34" t="s">
        <v>74</v>
      </c>
      <c r="F236" s="34"/>
      <c r="G236" s="34" t="s">
        <v>287</v>
      </c>
      <c r="H236" s="31" t="s">
        <v>288</v>
      </c>
      <c r="I236" s="34" t="s">
        <v>289</v>
      </c>
      <c r="J236" s="34" t="s">
        <v>298</v>
      </c>
      <c r="K236" s="31" t="s">
        <v>263</v>
      </c>
      <c r="L236" s="34" t="s">
        <v>222</v>
      </c>
      <c r="M236" s="31">
        <v>7901</v>
      </c>
      <c r="N236" s="31">
        <v>371045</v>
      </c>
      <c r="O236" s="34">
        <v>10792042</v>
      </c>
      <c r="P236" s="57">
        <v>1</v>
      </c>
      <c r="Q236" s="57" t="s">
        <v>26</v>
      </c>
      <c r="R236" s="58">
        <v>30</v>
      </c>
      <c r="S236" s="59">
        <v>30</v>
      </c>
    </row>
    <row r="237" spans="1:19" s="4" customFormat="1" ht="15" hidden="1" customHeight="1" x14ac:dyDescent="0.2">
      <c r="A237" s="29">
        <v>280</v>
      </c>
      <c r="B237" s="56">
        <v>45375</v>
      </c>
      <c r="C237" s="55">
        <v>45352</v>
      </c>
      <c r="D237" s="34" t="s">
        <v>285</v>
      </c>
      <c r="E237" s="34" t="s">
        <v>74</v>
      </c>
      <c r="F237" s="34"/>
      <c r="G237" s="34" t="s">
        <v>287</v>
      </c>
      <c r="H237" s="31" t="s">
        <v>288</v>
      </c>
      <c r="I237" s="34" t="s">
        <v>289</v>
      </c>
      <c r="J237" s="34" t="s">
        <v>299</v>
      </c>
      <c r="K237" s="31" t="s">
        <v>263</v>
      </c>
      <c r="L237" s="34" t="s">
        <v>222</v>
      </c>
      <c r="M237" s="31">
        <v>7901</v>
      </c>
      <c r="N237" s="31">
        <v>371045</v>
      </c>
      <c r="O237" s="34">
        <v>10792042</v>
      </c>
      <c r="P237" s="57">
        <v>1</v>
      </c>
      <c r="Q237" s="57" t="s">
        <v>26</v>
      </c>
      <c r="R237" s="58">
        <v>38</v>
      </c>
      <c r="S237" s="59">
        <v>38</v>
      </c>
    </row>
    <row r="238" spans="1:19" s="4" customFormat="1" ht="15" hidden="1" customHeight="1" x14ac:dyDescent="0.2">
      <c r="A238" s="29">
        <v>281</v>
      </c>
      <c r="B238" s="56">
        <v>45375</v>
      </c>
      <c r="C238" s="55">
        <v>45352</v>
      </c>
      <c r="D238" s="34" t="s">
        <v>285</v>
      </c>
      <c r="E238" s="34" t="s">
        <v>74</v>
      </c>
      <c r="F238" s="34"/>
      <c r="G238" s="34" t="s">
        <v>287</v>
      </c>
      <c r="H238" s="31" t="s">
        <v>288</v>
      </c>
      <c r="I238" s="34" t="s">
        <v>289</v>
      </c>
      <c r="J238" s="34" t="s">
        <v>300</v>
      </c>
      <c r="K238" s="31" t="s">
        <v>263</v>
      </c>
      <c r="L238" s="34" t="s">
        <v>222</v>
      </c>
      <c r="M238" s="31">
        <v>7901</v>
      </c>
      <c r="N238" s="31">
        <v>371045</v>
      </c>
      <c r="O238" s="34">
        <v>10792042</v>
      </c>
      <c r="P238" s="57">
        <v>2</v>
      </c>
      <c r="Q238" s="57" t="s">
        <v>26</v>
      </c>
      <c r="R238" s="58">
        <v>15</v>
      </c>
      <c r="S238" s="59">
        <v>30</v>
      </c>
    </row>
    <row r="239" spans="1:19" s="4" customFormat="1" ht="15" hidden="1" customHeight="1" x14ac:dyDescent="0.2">
      <c r="A239" s="29">
        <v>282</v>
      </c>
      <c r="B239" s="56">
        <v>45376</v>
      </c>
      <c r="C239" s="55">
        <v>45352</v>
      </c>
      <c r="D239" s="34" t="s">
        <v>285</v>
      </c>
      <c r="E239" s="34" t="s">
        <v>28</v>
      </c>
      <c r="F239" s="34"/>
      <c r="G239" s="34" t="s">
        <v>287</v>
      </c>
      <c r="H239" s="31" t="s">
        <v>288</v>
      </c>
      <c r="I239" s="34" t="s">
        <v>289</v>
      </c>
      <c r="J239" s="34" t="s">
        <v>301</v>
      </c>
      <c r="K239" s="31" t="s">
        <v>263</v>
      </c>
      <c r="L239" s="34" t="s">
        <v>222</v>
      </c>
      <c r="M239" s="31">
        <v>7901</v>
      </c>
      <c r="N239" s="31">
        <v>371094</v>
      </c>
      <c r="O239" s="34">
        <v>10792042</v>
      </c>
      <c r="P239" s="57">
        <v>2</v>
      </c>
      <c r="Q239" s="57" t="s">
        <v>26</v>
      </c>
      <c r="R239" s="58">
        <v>5</v>
      </c>
      <c r="S239" s="59">
        <v>10</v>
      </c>
    </row>
    <row r="240" spans="1:19" s="4" customFormat="1" ht="15" hidden="1" customHeight="1" x14ac:dyDescent="0.2">
      <c r="A240" s="29">
        <v>283</v>
      </c>
      <c r="B240" s="56">
        <v>45376</v>
      </c>
      <c r="C240" s="55">
        <v>45352</v>
      </c>
      <c r="D240" s="34" t="s">
        <v>285</v>
      </c>
      <c r="E240" s="34" t="s">
        <v>28</v>
      </c>
      <c r="F240" s="34"/>
      <c r="G240" s="34" t="s">
        <v>287</v>
      </c>
      <c r="H240" s="31" t="s">
        <v>288</v>
      </c>
      <c r="I240" s="34" t="s">
        <v>289</v>
      </c>
      <c r="J240" s="34" t="s">
        <v>301</v>
      </c>
      <c r="K240" s="31" t="s">
        <v>263</v>
      </c>
      <c r="L240" s="34" t="s">
        <v>222</v>
      </c>
      <c r="M240" s="31">
        <v>7901</v>
      </c>
      <c r="N240" s="31">
        <v>371094</v>
      </c>
      <c r="O240" s="34">
        <v>10792042</v>
      </c>
      <c r="P240" s="57">
        <v>1</v>
      </c>
      <c r="Q240" s="57" t="s">
        <v>26</v>
      </c>
      <c r="R240" s="58">
        <v>5</v>
      </c>
      <c r="S240" s="59">
        <v>5</v>
      </c>
    </row>
    <row r="241" spans="1:19" s="4" customFormat="1" ht="15" hidden="1" customHeight="1" x14ac:dyDescent="0.2">
      <c r="A241" s="29">
        <v>284</v>
      </c>
      <c r="B241" s="56">
        <v>45376</v>
      </c>
      <c r="C241" s="55">
        <v>45352</v>
      </c>
      <c r="D241" s="34" t="s">
        <v>285</v>
      </c>
      <c r="E241" s="34" t="s">
        <v>28</v>
      </c>
      <c r="F241" s="34"/>
      <c r="G241" s="34" t="s">
        <v>287</v>
      </c>
      <c r="H241" s="31" t="s">
        <v>288</v>
      </c>
      <c r="I241" s="34" t="s">
        <v>289</v>
      </c>
      <c r="J241" s="34" t="s">
        <v>301</v>
      </c>
      <c r="K241" s="31" t="s">
        <v>263</v>
      </c>
      <c r="L241" s="34" t="s">
        <v>222</v>
      </c>
      <c r="M241" s="31">
        <v>7901</v>
      </c>
      <c r="N241" s="31">
        <v>371094</v>
      </c>
      <c r="O241" s="34">
        <v>10792042</v>
      </c>
      <c r="P241" s="57">
        <v>4</v>
      </c>
      <c r="Q241" s="57" t="s">
        <v>26</v>
      </c>
      <c r="R241" s="58">
        <v>5</v>
      </c>
      <c r="S241" s="59">
        <v>20</v>
      </c>
    </row>
    <row r="242" spans="1:19" s="4" customFormat="1" ht="15" hidden="1" customHeight="1" x14ac:dyDescent="0.2">
      <c r="A242" s="29">
        <v>285</v>
      </c>
      <c r="B242" s="56">
        <v>45376</v>
      </c>
      <c r="C242" s="55">
        <v>45352</v>
      </c>
      <c r="D242" s="34" t="s">
        <v>285</v>
      </c>
      <c r="E242" s="34" t="s">
        <v>28</v>
      </c>
      <c r="F242" s="34"/>
      <c r="G242" s="34" t="s">
        <v>287</v>
      </c>
      <c r="H242" s="31" t="s">
        <v>288</v>
      </c>
      <c r="I242" s="34" t="s">
        <v>289</v>
      </c>
      <c r="J242" s="34" t="s">
        <v>301</v>
      </c>
      <c r="K242" s="31" t="s">
        <v>263</v>
      </c>
      <c r="L242" s="34" t="s">
        <v>222</v>
      </c>
      <c r="M242" s="31">
        <v>7901</v>
      </c>
      <c r="N242" s="31">
        <v>371094</v>
      </c>
      <c r="O242" s="34">
        <v>10792042</v>
      </c>
      <c r="P242" s="57">
        <v>2</v>
      </c>
      <c r="Q242" s="57" t="s">
        <v>26</v>
      </c>
      <c r="R242" s="58">
        <v>5</v>
      </c>
      <c r="S242" s="59">
        <v>10</v>
      </c>
    </row>
    <row r="243" spans="1:19" s="4" customFormat="1" ht="15" hidden="1" customHeight="1" x14ac:dyDescent="0.2">
      <c r="A243" s="29">
        <v>286</v>
      </c>
      <c r="B243" s="56">
        <v>45376</v>
      </c>
      <c r="C243" s="55">
        <v>45352</v>
      </c>
      <c r="D243" s="34" t="s">
        <v>285</v>
      </c>
      <c r="E243" s="34" t="s">
        <v>28</v>
      </c>
      <c r="F243" s="34"/>
      <c r="G243" s="34" t="s">
        <v>287</v>
      </c>
      <c r="H243" s="31" t="s">
        <v>288</v>
      </c>
      <c r="I243" s="34" t="s">
        <v>289</v>
      </c>
      <c r="J243" s="34" t="s">
        <v>302</v>
      </c>
      <c r="K243" s="31" t="s">
        <v>263</v>
      </c>
      <c r="L243" s="34" t="s">
        <v>222</v>
      </c>
      <c r="M243" s="31">
        <v>7901</v>
      </c>
      <c r="N243" s="31">
        <v>371094</v>
      </c>
      <c r="O243" s="34">
        <v>10792042</v>
      </c>
      <c r="P243" s="57">
        <v>4</v>
      </c>
      <c r="Q243" s="57" t="s">
        <v>26</v>
      </c>
      <c r="R243" s="58">
        <v>8.5</v>
      </c>
      <c r="S243" s="59">
        <v>34</v>
      </c>
    </row>
    <row r="244" spans="1:19" s="4" customFormat="1" ht="15" hidden="1" customHeight="1" x14ac:dyDescent="0.2">
      <c r="A244" s="29">
        <v>287</v>
      </c>
      <c r="B244" s="56">
        <v>45376</v>
      </c>
      <c r="C244" s="55">
        <v>45352</v>
      </c>
      <c r="D244" s="34" t="s">
        <v>285</v>
      </c>
      <c r="E244" s="34" t="s">
        <v>28</v>
      </c>
      <c r="F244" s="34"/>
      <c r="G244" s="34" t="s">
        <v>287</v>
      </c>
      <c r="H244" s="31" t="s">
        <v>288</v>
      </c>
      <c r="I244" s="34" t="s">
        <v>289</v>
      </c>
      <c r="J244" s="34" t="s">
        <v>302</v>
      </c>
      <c r="K244" s="31" t="s">
        <v>263</v>
      </c>
      <c r="L244" s="34" t="s">
        <v>222</v>
      </c>
      <c r="M244" s="31">
        <v>7901</v>
      </c>
      <c r="N244" s="31">
        <v>371094</v>
      </c>
      <c r="O244" s="34">
        <v>10792042</v>
      </c>
      <c r="P244" s="57">
        <v>4</v>
      </c>
      <c r="Q244" s="57" t="s">
        <v>26</v>
      </c>
      <c r="R244" s="58">
        <v>8.5</v>
      </c>
      <c r="S244" s="59">
        <v>34</v>
      </c>
    </row>
    <row r="245" spans="1:19" s="4" customFormat="1" ht="15" hidden="1" customHeight="1" x14ac:dyDescent="0.2">
      <c r="A245" s="29">
        <v>288</v>
      </c>
      <c r="B245" s="56">
        <v>45376</v>
      </c>
      <c r="C245" s="55">
        <v>45352</v>
      </c>
      <c r="D245" s="34" t="s">
        <v>285</v>
      </c>
      <c r="E245" s="34" t="s">
        <v>28</v>
      </c>
      <c r="F245" s="34"/>
      <c r="G245" s="34" t="s">
        <v>287</v>
      </c>
      <c r="H245" s="31" t="s">
        <v>288</v>
      </c>
      <c r="I245" s="34" t="s">
        <v>289</v>
      </c>
      <c r="J245" s="34" t="s">
        <v>301</v>
      </c>
      <c r="K245" s="31" t="s">
        <v>263</v>
      </c>
      <c r="L245" s="34" t="s">
        <v>222</v>
      </c>
      <c r="M245" s="31">
        <v>7901</v>
      </c>
      <c r="N245" s="31">
        <v>371094</v>
      </c>
      <c r="O245" s="34">
        <v>10792042</v>
      </c>
      <c r="P245" s="57">
        <v>3</v>
      </c>
      <c r="Q245" s="57" t="s">
        <v>26</v>
      </c>
      <c r="R245" s="58">
        <v>5</v>
      </c>
      <c r="S245" s="59">
        <v>15</v>
      </c>
    </row>
    <row r="246" spans="1:19" s="4" customFormat="1" ht="15" hidden="1" customHeight="1" x14ac:dyDescent="0.2">
      <c r="A246" s="29">
        <v>289</v>
      </c>
      <c r="B246" s="56">
        <v>45376</v>
      </c>
      <c r="C246" s="55">
        <v>45352</v>
      </c>
      <c r="D246" s="34" t="s">
        <v>285</v>
      </c>
      <c r="E246" s="34" t="s">
        <v>28</v>
      </c>
      <c r="F246" s="34"/>
      <c r="G246" s="34" t="s">
        <v>287</v>
      </c>
      <c r="H246" s="31" t="s">
        <v>288</v>
      </c>
      <c r="I246" s="34" t="s">
        <v>289</v>
      </c>
      <c r="J246" s="34" t="s">
        <v>301</v>
      </c>
      <c r="K246" s="31" t="s">
        <v>263</v>
      </c>
      <c r="L246" s="34" t="s">
        <v>222</v>
      </c>
      <c r="M246" s="31">
        <v>7901</v>
      </c>
      <c r="N246" s="31">
        <v>371094</v>
      </c>
      <c r="O246" s="34">
        <v>10792042</v>
      </c>
      <c r="P246" s="57">
        <v>4</v>
      </c>
      <c r="Q246" s="57" t="s">
        <v>26</v>
      </c>
      <c r="R246" s="58">
        <v>5</v>
      </c>
      <c r="S246" s="59">
        <v>20</v>
      </c>
    </row>
    <row r="247" spans="1:19" s="4" customFormat="1" ht="15" hidden="1" customHeight="1" x14ac:dyDescent="0.2">
      <c r="A247" s="29">
        <v>290</v>
      </c>
      <c r="B247" s="56">
        <v>45376</v>
      </c>
      <c r="C247" s="55">
        <v>45352</v>
      </c>
      <c r="D247" s="34" t="s">
        <v>285</v>
      </c>
      <c r="E247" s="34" t="s">
        <v>28</v>
      </c>
      <c r="F247" s="34"/>
      <c r="G247" s="34" t="s">
        <v>287</v>
      </c>
      <c r="H247" s="31" t="s">
        <v>288</v>
      </c>
      <c r="I247" s="34" t="s">
        <v>289</v>
      </c>
      <c r="J247" s="34" t="s">
        <v>301</v>
      </c>
      <c r="K247" s="31" t="s">
        <v>263</v>
      </c>
      <c r="L247" s="34" t="s">
        <v>222</v>
      </c>
      <c r="M247" s="31">
        <v>7901</v>
      </c>
      <c r="N247" s="31">
        <v>371094</v>
      </c>
      <c r="O247" s="34">
        <v>10792042</v>
      </c>
      <c r="P247" s="57">
        <v>4</v>
      </c>
      <c r="Q247" s="57" t="s">
        <v>26</v>
      </c>
      <c r="R247" s="58">
        <v>5</v>
      </c>
      <c r="S247" s="59">
        <v>20</v>
      </c>
    </row>
    <row r="248" spans="1:19" s="4" customFormat="1" ht="15" hidden="1" customHeight="1" x14ac:dyDescent="0.2">
      <c r="A248" s="29">
        <v>291</v>
      </c>
      <c r="B248" s="56">
        <v>45376</v>
      </c>
      <c r="C248" s="55">
        <v>45352</v>
      </c>
      <c r="D248" s="34" t="s">
        <v>285</v>
      </c>
      <c r="E248" s="34" t="s">
        <v>28</v>
      </c>
      <c r="F248" s="34"/>
      <c r="G248" s="34" t="s">
        <v>287</v>
      </c>
      <c r="H248" s="31" t="s">
        <v>288</v>
      </c>
      <c r="I248" s="34" t="s">
        <v>289</v>
      </c>
      <c r="J248" s="34" t="s">
        <v>301</v>
      </c>
      <c r="K248" s="31" t="s">
        <v>263</v>
      </c>
      <c r="L248" s="34" t="s">
        <v>222</v>
      </c>
      <c r="M248" s="31">
        <v>7901</v>
      </c>
      <c r="N248" s="31">
        <v>371094</v>
      </c>
      <c r="O248" s="34">
        <v>10792042</v>
      </c>
      <c r="P248" s="57">
        <v>4</v>
      </c>
      <c r="Q248" s="57" t="s">
        <v>26</v>
      </c>
      <c r="R248" s="58">
        <v>5</v>
      </c>
      <c r="S248" s="59">
        <v>20</v>
      </c>
    </row>
    <row r="249" spans="1:19" s="4" customFormat="1" ht="15" hidden="1" customHeight="1" x14ac:dyDescent="0.2">
      <c r="A249" s="29">
        <v>292</v>
      </c>
      <c r="B249" s="56">
        <v>45376</v>
      </c>
      <c r="C249" s="55">
        <v>45352</v>
      </c>
      <c r="D249" s="34" t="s">
        <v>285</v>
      </c>
      <c r="E249" s="34" t="s">
        <v>28</v>
      </c>
      <c r="F249" s="34"/>
      <c r="G249" s="34" t="s">
        <v>287</v>
      </c>
      <c r="H249" s="31" t="s">
        <v>288</v>
      </c>
      <c r="I249" s="34" t="s">
        <v>289</v>
      </c>
      <c r="J249" s="34" t="s">
        <v>301</v>
      </c>
      <c r="K249" s="31" t="s">
        <v>263</v>
      </c>
      <c r="L249" s="34" t="s">
        <v>222</v>
      </c>
      <c r="M249" s="31">
        <v>7901</v>
      </c>
      <c r="N249" s="31">
        <v>371094</v>
      </c>
      <c r="O249" s="34">
        <v>10792042</v>
      </c>
      <c r="P249" s="57">
        <v>1</v>
      </c>
      <c r="Q249" s="57" t="s">
        <v>26</v>
      </c>
      <c r="R249" s="58">
        <v>5</v>
      </c>
      <c r="S249" s="59">
        <v>5</v>
      </c>
    </row>
    <row r="250" spans="1:19" s="4" customFormat="1" ht="15" hidden="1" customHeight="1" x14ac:dyDescent="0.2">
      <c r="A250" s="29">
        <v>293</v>
      </c>
      <c r="B250" s="56">
        <v>45376</v>
      </c>
      <c r="C250" s="55">
        <v>45352</v>
      </c>
      <c r="D250" s="34" t="s">
        <v>285</v>
      </c>
      <c r="E250" s="34" t="s">
        <v>28</v>
      </c>
      <c r="F250" s="34"/>
      <c r="G250" s="34" t="s">
        <v>287</v>
      </c>
      <c r="H250" s="31" t="s">
        <v>288</v>
      </c>
      <c r="I250" s="34" t="s">
        <v>289</v>
      </c>
      <c r="J250" s="34" t="s">
        <v>301</v>
      </c>
      <c r="K250" s="31" t="s">
        <v>263</v>
      </c>
      <c r="L250" s="34" t="s">
        <v>222</v>
      </c>
      <c r="M250" s="31">
        <v>7901</v>
      </c>
      <c r="N250" s="31">
        <v>371094</v>
      </c>
      <c r="O250" s="34">
        <v>10792042</v>
      </c>
      <c r="P250" s="57">
        <v>2</v>
      </c>
      <c r="Q250" s="57" t="s">
        <v>26</v>
      </c>
      <c r="R250" s="58">
        <v>5</v>
      </c>
      <c r="S250" s="59">
        <v>10</v>
      </c>
    </row>
    <row r="251" spans="1:19" s="4" customFormat="1" ht="15" hidden="1" customHeight="1" x14ac:dyDescent="0.2">
      <c r="A251" s="29">
        <v>294</v>
      </c>
      <c r="B251" s="56">
        <v>45376</v>
      </c>
      <c r="C251" s="55">
        <v>45352</v>
      </c>
      <c r="D251" s="34" t="s">
        <v>285</v>
      </c>
      <c r="E251" s="34" t="s">
        <v>28</v>
      </c>
      <c r="F251" s="34"/>
      <c r="G251" s="34" t="s">
        <v>287</v>
      </c>
      <c r="H251" s="31" t="s">
        <v>288</v>
      </c>
      <c r="I251" s="34" t="s">
        <v>289</v>
      </c>
      <c r="J251" s="34" t="s">
        <v>301</v>
      </c>
      <c r="K251" s="31" t="s">
        <v>263</v>
      </c>
      <c r="L251" s="34" t="s">
        <v>222</v>
      </c>
      <c r="M251" s="31">
        <v>7901</v>
      </c>
      <c r="N251" s="31">
        <v>371094</v>
      </c>
      <c r="O251" s="34">
        <v>10792042</v>
      </c>
      <c r="P251" s="57">
        <v>2</v>
      </c>
      <c r="Q251" s="57" t="s">
        <v>26</v>
      </c>
      <c r="R251" s="58">
        <v>5</v>
      </c>
      <c r="S251" s="59">
        <v>10</v>
      </c>
    </row>
    <row r="252" spans="1:19" s="4" customFormat="1" ht="15" hidden="1" customHeight="1" x14ac:dyDescent="0.2">
      <c r="A252" s="29">
        <v>295</v>
      </c>
      <c r="B252" s="56">
        <v>45376</v>
      </c>
      <c r="C252" s="55">
        <v>45352</v>
      </c>
      <c r="D252" s="34" t="s">
        <v>285</v>
      </c>
      <c r="E252" s="34" t="s">
        <v>28</v>
      </c>
      <c r="F252" s="34"/>
      <c r="G252" s="34" t="s">
        <v>287</v>
      </c>
      <c r="H252" s="31" t="s">
        <v>288</v>
      </c>
      <c r="I252" s="34" t="s">
        <v>289</v>
      </c>
      <c r="J252" s="34" t="s">
        <v>301</v>
      </c>
      <c r="K252" s="31" t="s">
        <v>263</v>
      </c>
      <c r="L252" s="34" t="s">
        <v>222</v>
      </c>
      <c r="M252" s="31">
        <v>7901</v>
      </c>
      <c r="N252" s="31">
        <v>371094</v>
      </c>
      <c r="O252" s="34">
        <v>10792042</v>
      </c>
      <c r="P252" s="57">
        <v>2</v>
      </c>
      <c r="Q252" s="57" t="s">
        <v>26</v>
      </c>
      <c r="R252" s="58">
        <v>5</v>
      </c>
      <c r="S252" s="59">
        <v>10</v>
      </c>
    </row>
    <row r="253" spans="1:19" s="4" customFormat="1" ht="15" hidden="1" customHeight="1" x14ac:dyDescent="0.2">
      <c r="A253" s="29">
        <v>296</v>
      </c>
      <c r="B253" s="56">
        <v>45376</v>
      </c>
      <c r="C253" s="55">
        <v>45352</v>
      </c>
      <c r="D253" s="34" t="s">
        <v>285</v>
      </c>
      <c r="E253" s="34" t="s">
        <v>28</v>
      </c>
      <c r="F253" s="34"/>
      <c r="G253" s="34" t="s">
        <v>287</v>
      </c>
      <c r="H253" s="31" t="s">
        <v>288</v>
      </c>
      <c r="I253" s="34" t="s">
        <v>289</v>
      </c>
      <c r="J253" s="34" t="s">
        <v>301</v>
      </c>
      <c r="K253" s="31" t="s">
        <v>263</v>
      </c>
      <c r="L253" s="34" t="s">
        <v>222</v>
      </c>
      <c r="M253" s="31">
        <v>7901</v>
      </c>
      <c r="N253" s="31">
        <v>371094</v>
      </c>
      <c r="O253" s="34">
        <v>10792042</v>
      </c>
      <c r="P253" s="57">
        <v>6</v>
      </c>
      <c r="Q253" s="57" t="s">
        <v>26</v>
      </c>
      <c r="R253" s="58">
        <v>5</v>
      </c>
      <c r="S253" s="59">
        <v>30</v>
      </c>
    </row>
    <row r="254" spans="1:19" s="4" customFormat="1" ht="15" hidden="1" customHeight="1" x14ac:dyDescent="0.2">
      <c r="A254" s="29">
        <v>297</v>
      </c>
      <c r="B254" s="56">
        <v>45376</v>
      </c>
      <c r="C254" s="55">
        <v>45352</v>
      </c>
      <c r="D254" s="34" t="s">
        <v>285</v>
      </c>
      <c r="E254" s="34" t="s">
        <v>28</v>
      </c>
      <c r="F254" s="34"/>
      <c r="G254" s="34" t="s">
        <v>287</v>
      </c>
      <c r="H254" s="31" t="s">
        <v>288</v>
      </c>
      <c r="I254" s="34" t="s">
        <v>289</v>
      </c>
      <c r="J254" s="34" t="s">
        <v>301</v>
      </c>
      <c r="K254" s="31" t="s">
        <v>263</v>
      </c>
      <c r="L254" s="34" t="s">
        <v>222</v>
      </c>
      <c r="M254" s="31">
        <v>7901</v>
      </c>
      <c r="N254" s="31">
        <v>371094</v>
      </c>
      <c r="O254" s="34">
        <v>10792042</v>
      </c>
      <c r="P254" s="57">
        <v>2</v>
      </c>
      <c r="Q254" s="57" t="s">
        <v>26</v>
      </c>
      <c r="R254" s="58">
        <v>5</v>
      </c>
      <c r="S254" s="59">
        <v>10</v>
      </c>
    </row>
    <row r="255" spans="1:19" s="4" customFormat="1" ht="15" hidden="1" customHeight="1" x14ac:dyDescent="0.2">
      <c r="A255" s="29">
        <v>298</v>
      </c>
      <c r="B255" s="56">
        <v>45376</v>
      </c>
      <c r="C255" s="55">
        <v>45352</v>
      </c>
      <c r="D255" s="34" t="s">
        <v>285</v>
      </c>
      <c r="E255" s="34" t="s">
        <v>28</v>
      </c>
      <c r="F255" s="34"/>
      <c r="G255" s="34" t="s">
        <v>287</v>
      </c>
      <c r="H255" s="31" t="s">
        <v>288</v>
      </c>
      <c r="I255" s="34" t="s">
        <v>289</v>
      </c>
      <c r="J255" s="34" t="s">
        <v>301</v>
      </c>
      <c r="K255" s="31" t="s">
        <v>263</v>
      </c>
      <c r="L255" s="34" t="s">
        <v>222</v>
      </c>
      <c r="M255" s="31">
        <v>7901</v>
      </c>
      <c r="N255" s="31">
        <v>371094</v>
      </c>
      <c r="O255" s="34">
        <v>10792042</v>
      </c>
      <c r="P255" s="57">
        <v>2</v>
      </c>
      <c r="Q255" s="57" t="s">
        <v>26</v>
      </c>
      <c r="R255" s="58">
        <v>5</v>
      </c>
      <c r="S255" s="59">
        <v>10</v>
      </c>
    </row>
    <row r="256" spans="1:19" s="4" customFormat="1" ht="15" hidden="1" customHeight="1" x14ac:dyDescent="0.2">
      <c r="A256" s="29">
        <v>299</v>
      </c>
      <c r="B256" s="56">
        <v>45376</v>
      </c>
      <c r="C256" s="55">
        <v>45352</v>
      </c>
      <c r="D256" s="34" t="s">
        <v>285</v>
      </c>
      <c r="E256" s="34" t="s">
        <v>28</v>
      </c>
      <c r="F256" s="34"/>
      <c r="G256" s="34" t="s">
        <v>287</v>
      </c>
      <c r="H256" s="31" t="s">
        <v>288</v>
      </c>
      <c r="I256" s="34" t="s">
        <v>289</v>
      </c>
      <c r="J256" s="34" t="s">
        <v>301</v>
      </c>
      <c r="K256" s="31" t="s">
        <v>263</v>
      </c>
      <c r="L256" s="34" t="s">
        <v>222</v>
      </c>
      <c r="M256" s="31">
        <v>7901</v>
      </c>
      <c r="N256" s="31">
        <v>371094</v>
      </c>
      <c r="O256" s="34">
        <v>10792042</v>
      </c>
      <c r="P256" s="57">
        <v>1</v>
      </c>
      <c r="Q256" s="57" t="s">
        <v>26</v>
      </c>
      <c r="R256" s="58">
        <v>5</v>
      </c>
      <c r="S256" s="59">
        <v>5</v>
      </c>
    </row>
    <row r="257" spans="1:19" s="4" customFormat="1" ht="15" hidden="1" customHeight="1" x14ac:dyDescent="0.2">
      <c r="A257" s="29">
        <v>300</v>
      </c>
      <c r="B257" s="56">
        <v>45376</v>
      </c>
      <c r="C257" s="55">
        <v>45352</v>
      </c>
      <c r="D257" s="34" t="s">
        <v>285</v>
      </c>
      <c r="E257" s="34" t="s">
        <v>28</v>
      </c>
      <c r="F257" s="34"/>
      <c r="G257" s="34" t="s">
        <v>287</v>
      </c>
      <c r="H257" s="31" t="s">
        <v>288</v>
      </c>
      <c r="I257" s="34" t="s">
        <v>289</v>
      </c>
      <c r="J257" s="34" t="s">
        <v>301</v>
      </c>
      <c r="K257" s="31" t="s">
        <v>263</v>
      </c>
      <c r="L257" s="34" t="s">
        <v>222</v>
      </c>
      <c r="M257" s="31">
        <v>7901</v>
      </c>
      <c r="N257" s="31">
        <v>371094</v>
      </c>
      <c r="O257" s="34">
        <v>10792042</v>
      </c>
      <c r="P257" s="57">
        <v>1</v>
      </c>
      <c r="Q257" s="57" t="s">
        <v>26</v>
      </c>
      <c r="R257" s="58">
        <v>5</v>
      </c>
      <c r="S257" s="59">
        <v>5</v>
      </c>
    </row>
    <row r="258" spans="1:19" s="4" customFormat="1" ht="15" hidden="1" customHeight="1" x14ac:dyDescent="0.2">
      <c r="A258" s="29">
        <v>301</v>
      </c>
      <c r="B258" s="56">
        <v>45376</v>
      </c>
      <c r="C258" s="55">
        <v>45352</v>
      </c>
      <c r="D258" s="34" t="s">
        <v>285</v>
      </c>
      <c r="E258" s="34" t="s">
        <v>28</v>
      </c>
      <c r="F258" s="34"/>
      <c r="G258" s="34" t="s">
        <v>287</v>
      </c>
      <c r="H258" s="31" t="s">
        <v>288</v>
      </c>
      <c r="I258" s="34" t="s">
        <v>289</v>
      </c>
      <c r="J258" s="34" t="s">
        <v>301</v>
      </c>
      <c r="K258" s="31" t="s">
        <v>263</v>
      </c>
      <c r="L258" s="34" t="s">
        <v>222</v>
      </c>
      <c r="M258" s="31">
        <v>7901</v>
      </c>
      <c r="N258" s="31">
        <v>371094</v>
      </c>
      <c r="O258" s="34">
        <v>10792042</v>
      </c>
      <c r="P258" s="57">
        <v>2</v>
      </c>
      <c r="Q258" s="57" t="s">
        <v>26</v>
      </c>
      <c r="R258" s="58">
        <v>5</v>
      </c>
      <c r="S258" s="59">
        <v>10</v>
      </c>
    </row>
    <row r="259" spans="1:19" s="4" customFormat="1" ht="15" hidden="1" customHeight="1" x14ac:dyDescent="0.2">
      <c r="A259" s="29">
        <v>302</v>
      </c>
      <c r="B259" s="56">
        <v>45376</v>
      </c>
      <c r="C259" s="55">
        <v>45352</v>
      </c>
      <c r="D259" s="34" t="s">
        <v>285</v>
      </c>
      <c r="E259" s="34" t="s">
        <v>28</v>
      </c>
      <c r="F259" s="34"/>
      <c r="G259" s="34" t="s">
        <v>287</v>
      </c>
      <c r="H259" s="31" t="s">
        <v>288</v>
      </c>
      <c r="I259" s="34" t="s">
        <v>289</v>
      </c>
      <c r="J259" s="34" t="s">
        <v>301</v>
      </c>
      <c r="K259" s="31" t="s">
        <v>263</v>
      </c>
      <c r="L259" s="34" t="s">
        <v>222</v>
      </c>
      <c r="M259" s="31">
        <v>7901</v>
      </c>
      <c r="N259" s="31">
        <v>371094</v>
      </c>
      <c r="O259" s="34">
        <v>10792042</v>
      </c>
      <c r="P259" s="57">
        <v>2</v>
      </c>
      <c r="Q259" s="57" t="s">
        <v>26</v>
      </c>
      <c r="R259" s="58">
        <v>5</v>
      </c>
      <c r="S259" s="59">
        <v>10</v>
      </c>
    </row>
    <row r="260" spans="1:19" s="4" customFormat="1" ht="15" hidden="1" customHeight="1" x14ac:dyDescent="0.2">
      <c r="A260" s="29">
        <v>303</v>
      </c>
      <c r="B260" s="56">
        <v>45376</v>
      </c>
      <c r="C260" s="55">
        <v>45352</v>
      </c>
      <c r="D260" s="34" t="s">
        <v>285</v>
      </c>
      <c r="E260" s="34" t="s">
        <v>28</v>
      </c>
      <c r="F260" s="34"/>
      <c r="G260" s="34" t="s">
        <v>287</v>
      </c>
      <c r="H260" s="31" t="s">
        <v>288</v>
      </c>
      <c r="I260" s="34" t="s">
        <v>289</v>
      </c>
      <c r="J260" s="34" t="s">
        <v>301</v>
      </c>
      <c r="K260" s="31" t="s">
        <v>263</v>
      </c>
      <c r="L260" s="34" t="s">
        <v>222</v>
      </c>
      <c r="M260" s="31">
        <v>7901</v>
      </c>
      <c r="N260" s="31">
        <v>371094</v>
      </c>
      <c r="O260" s="34">
        <v>10792042</v>
      </c>
      <c r="P260" s="57">
        <v>2</v>
      </c>
      <c r="Q260" s="57" t="s">
        <v>26</v>
      </c>
      <c r="R260" s="58">
        <v>5</v>
      </c>
      <c r="S260" s="59">
        <v>10</v>
      </c>
    </row>
    <row r="261" spans="1:19" s="4" customFormat="1" ht="15" hidden="1" customHeight="1" x14ac:dyDescent="0.2">
      <c r="A261" s="29">
        <v>304</v>
      </c>
      <c r="B261" s="56">
        <v>45376</v>
      </c>
      <c r="C261" s="55">
        <v>45352</v>
      </c>
      <c r="D261" s="34" t="s">
        <v>285</v>
      </c>
      <c r="E261" s="34" t="s">
        <v>28</v>
      </c>
      <c r="F261" s="34"/>
      <c r="G261" s="34" t="s">
        <v>287</v>
      </c>
      <c r="H261" s="31" t="s">
        <v>288</v>
      </c>
      <c r="I261" s="34" t="s">
        <v>289</v>
      </c>
      <c r="J261" s="34" t="s">
        <v>301</v>
      </c>
      <c r="K261" s="31" t="s">
        <v>263</v>
      </c>
      <c r="L261" s="34" t="s">
        <v>222</v>
      </c>
      <c r="M261" s="31">
        <v>7901</v>
      </c>
      <c r="N261" s="31">
        <v>371094</v>
      </c>
      <c r="O261" s="34">
        <v>10792042</v>
      </c>
      <c r="P261" s="57">
        <v>1</v>
      </c>
      <c r="Q261" s="57" t="s">
        <v>26</v>
      </c>
      <c r="R261" s="58">
        <v>5</v>
      </c>
      <c r="S261" s="59">
        <v>5</v>
      </c>
    </row>
    <row r="262" spans="1:19" s="4" customFormat="1" ht="15" hidden="1" customHeight="1" x14ac:dyDescent="0.2">
      <c r="A262" s="29">
        <v>305</v>
      </c>
      <c r="B262" s="56">
        <v>45376</v>
      </c>
      <c r="C262" s="55">
        <v>45352</v>
      </c>
      <c r="D262" s="34" t="s">
        <v>285</v>
      </c>
      <c r="E262" s="34" t="s">
        <v>28</v>
      </c>
      <c r="F262" s="34"/>
      <c r="G262" s="34" t="s">
        <v>287</v>
      </c>
      <c r="H262" s="31" t="s">
        <v>288</v>
      </c>
      <c r="I262" s="34" t="s">
        <v>289</v>
      </c>
      <c r="J262" s="34" t="s">
        <v>303</v>
      </c>
      <c r="K262" s="31" t="s">
        <v>263</v>
      </c>
      <c r="L262" s="34" t="s">
        <v>222</v>
      </c>
      <c r="M262" s="31">
        <v>7901</v>
      </c>
      <c r="N262" s="31">
        <v>371094</v>
      </c>
      <c r="O262" s="34">
        <v>10792042</v>
      </c>
      <c r="P262" s="57">
        <v>2</v>
      </c>
      <c r="Q262" s="57" t="s">
        <v>26</v>
      </c>
      <c r="R262" s="58">
        <v>15</v>
      </c>
      <c r="S262" s="59">
        <v>30</v>
      </c>
    </row>
    <row r="263" spans="1:19" s="4" customFormat="1" ht="15" hidden="1" customHeight="1" x14ac:dyDescent="0.2">
      <c r="A263" s="29">
        <v>306</v>
      </c>
      <c r="B263" s="56">
        <v>45376</v>
      </c>
      <c r="C263" s="55">
        <v>45352</v>
      </c>
      <c r="D263" s="34" t="s">
        <v>285</v>
      </c>
      <c r="E263" s="34" t="s">
        <v>28</v>
      </c>
      <c r="F263" s="34"/>
      <c r="G263" s="34" t="s">
        <v>287</v>
      </c>
      <c r="H263" s="31" t="s">
        <v>288</v>
      </c>
      <c r="I263" s="34" t="s">
        <v>289</v>
      </c>
      <c r="J263" s="34" t="s">
        <v>304</v>
      </c>
      <c r="K263" s="31" t="s">
        <v>263</v>
      </c>
      <c r="L263" s="34" t="s">
        <v>222</v>
      </c>
      <c r="M263" s="31">
        <v>7901</v>
      </c>
      <c r="N263" s="31">
        <v>371094</v>
      </c>
      <c r="O263" s="34">
        <v>10792042</v>
      </c>
      <c r="P263" s="57">
        <v>6</v>
      </c>
      <c r="Q263" s="57" t="s">
        <v>26</v>
      </c>
      <c r="R263" s="58">
        <v>14.9</v>
      </c>
      <c r="S263" s="59">
        <v>89.4</v>
      </c>
    </row>
    <row r="264" spans="1:19" s="4" customFormat="1" ht="15" hidden="1" customHeight="1" x14ac:dyDescent="0.2">
      <c r="A264" s="29">
        <v>307</v>
      </c>
      <c r="B264" s="56">
        <v>45376</v>
      </c>
      <c r="C264" s="55">
        <v>45352</v>
      </c>
      <c r="D264" s="34" t="s">
        <v>285</v>
      </c>
      <c r="E264" s="34" t="s">
        <v>28</v>
      </c>
      <c r="F264" s="34"/>
      <c r="G264" s="34" t="s">
        <v>287</v>
      </c>
      <c r="H264" s="31" t="s">
        <v>288</v>
      </c>
      <c r="I264" s="34" t="s">
        <v>289</v>
      </c>
      <c r="J264" s="34" t="s">
        <v>294</v>
      </c>
      <c r="K264" s="31" t="s">
        <v>263</v>
      </c>
      <c r="L264" s="34" t="s">
        <v>222</v>
      </c>
      <c r="M264" s="31">
        <v>7901</v>
      </c>
      <c r="N264" s="31">
        <v>371094</v>
      </c>
      <c r="O264" s="34">
        <v>10792042</v>
      </c>
      <c r="P264" s="57">
        <v>2</v>
      </c>
      <c r="Q264" s="57" t="s">
        <v>26</v>
      </c>
      <c r="R264" s="58">
        <v>68.459999999999994</v>
      </c>
      <c r="S264" s="59">
        <v>136.91999999999999</v>
      </c>
    </row>
    <row r="265" spans="1:19" s="4" customFormat="1" ht="15" hidden="1" customHeight="1" x14ac:dyDescent="0.2">
      <c r="A265" s="29">
        <v>308</v>
      </c>
      <c r="B265" s="56">
        <v>45376</v>
      </c>
      <c r="C265" s="55">
        <v>45352</v>
      </c>
      <c r="D265" s="34" t="s">
        <v>285</v>
      </c>
      <c r="E265" s="34" t="s">
        <v>28</v>
      </c>
      <c r="F265" s="34"/>
      <c r="G265" s="34" t="s">
        <v>287</v>
      </c>
      <c r="H265" s="31" t="s">
        <v>288</v>
      </c>
      <c r="I265" s="34" t="s">
        <v>289</v>
      </c>
      <c r="J265" s="34" t="s">
        <v>297</v>
      </c>
      <c r="K265" s="31" t="s">
        <v>263</v>
      </c>
      <c r="L265" s="34" t="s">
        <v>222</v>
      </c>
      <c r="M265" s="31">
        <v>7901</v>
      </c>
      <c r="N265" s="31">
        <v>371094</v>
      </c>
      <c r="O265" s="34">
        <v>10792042</v>
      </c>
      <c r="P265" s="57">
        <v>6</v>
      </c>
      <c r="Q265" s="57" t="s">
        <v>26</v>
      </c>
      <c r="R265" s="58">
        <v>27</v>
      </c>
      <c r="S265" s="59">
        <v>162</v>
      </c>
    </row>
    <row r="266" spans="1:19" s="4" customFormat="1" ht="15" hidden="1" customHeight="1" x14ac:dyDescent="0.2">
      <c r="A266" s="29">
        <v>309</v>
      </c>
      <c r="B266" s="56">
        <v>45376</v>
      </c>
      <c r="C266" s="55">
        <v>45352</v>
      </c>
      <c r="D266" s="34" t="s">
        <v>285</v>
      </c>
      <c r="E266" s="34" t="s">
        <v>28</v>
      </c>
      <c r="F266" s="34"/>
      <c r="G266" s="34" t="s">
        <v>287</v>
      </c>
      <c r="H266" s="31" t="s">
        <v>288</v>
      </c>
      <c r="I266" s="34" t="s">
        <v>289</v>
      </c>
      <c r="J266" s="34" t="s">
        <v>297</v>
      </c>
      <c r="K266" s="31" t="s">
        <v>263</v>
      </c>
      <c r="L266" s="34" t="s">
        <v>222</v>
      </c>
      <c r="M266" s="31">
        <v>7901</v>
      </c>
      <c r="N266" s="31">
        <v>371094</v>
      </c>
      <c r="O266" s="34">
        <v>10792042</v>
      </c>
      <c r="P266" s="57">
        <v>6</v>
      </c>
      <c r="Q266" s="57" t="s">
        <v>26</v>
      </c>
      <c r="R266" s="58">
        <v>13.5</v>
      </c>
      <c r="S266" s="59">
        <v>81</v>
      </c>
    </row>
    <row r="267" spans="1:19" s="4" customFormat="1" ht="15" hidden="1" customHeight="1" x14ac:dyDescent="0.2">
      <c r="A267" s="29">
        <v>310</v>
      </c>
      <c r="B267" s="56">
        <v>45376</v>
      </c>
      <c r="C267" s="55">
        <v>45352</v>
      </c>
      <c r="D267" s="34" t="s">
        <v>285</v>
      </c>
      <c r="E267" s="34" t="s">
        <v>28</v>
      </c>
      <c r="F267" s="34"/>
      <c r="G267" s="34" t="s">
        <v>287</v>
      </c>
      <c r="H267" s="31" t="s">
        <v>288</v>
      </c>
      <c r="I267" s="34" t="s">
        <v>289</v>
      </c>
      <c r="J267" s="34" t="s">
        <v>297</v>
      </c>
      <c r="K267" s="31" t="s">
        <v>263</v>
      </c>
      <c r="L267" s="34" t="s">
        <v>222</v>
      </c>
      <c r="M267" s="31">
        <v>7901</v>
      </c>
      <c r="N267" s="31">
        <v>371094</v>
      </c>
      <c r="O267" s="34">
        <v>10792042</v>
      </c>
      <c r="P267" s="57">
        <v>6</v>
      </c>
      <c r="Q267" s="57" t="s">
        <v>26</v>
      </c>
      <c r="R267" s="58">
        <v>3</v>
      </c>
      <c r="S267" s="59">
        <v>18</v>
      </c>
    </row>
    <row r="268" spans="1:19" s="4" customFormat="1" ht="15" hidden="1" customHeight="1" x14ac:dyDescent="0.2">
      <c r="A268" s="29">
        <v>311</v>
      </c>
      <c r="B268" s="56">
        <v>45376</v>
      </c>
      <c r="C268" s="55">
        <v>45352</v>
      </c>
      <c r="D268" s="34" t="s">
        <v>285</v>
      </c>
      <c r="E268" s="34" t="s">
        <v>28</v>
      </c>
      <c r="F268" s="34"/>
      <c r="G268" s="34" t="s">
        <v>287</v>
      </c>
      <c r="H268" s="31" t="s">
        <v>288</v>
      </c>
      <c r="I268" s="34" t="s">
        <v>289</v>
      </c>
      <c r="J268" s="34" t="s">
        <v>297</v>
      </c>
      <c r="K268" s="31" t="s">
        <v>263</v>
      </c>
      <c r="L268" s="34" t="s">
        <v>222</v>
      </c>
      <c r="M268" s="31">
        <v>7901</v>
      </c>
      <c r="N268" s="31">
        <v>371094</v>
      </c>
      <c r="O268" s="34">
        <v>10792042</v>
      </c>
      <c r="P268" s="57">
        <v>4</v>
      </c>
      <c r="Q268" s="57" t="s">
        <v>26</v>
      </c>
      <c r="R268" s="58">
        <v>18.75</v>
      </c>
      <c r="S268" s="59">
        <v>75</v>
      </c>
    </row>
    <row r="269" spans="1:19" s="4" customFormat="1" ht="15" hidden="1" customHeight="1" x14ac:dyDescent="0.2">
      <c r="A269" s="29">
        <v>312</v>
      </c>
      <c r="B269" s="56">
        <v>45376</v>
      </c>
      <c r="C269" s="55">
        <v>45352</v>
      </c>
      <c r="D269" s="34" t="s">
        <v>285</v>
      </c>
      <c r="E269" s="34" t="s">
        <v>28</v>
      </c>
      <c r="F269" s="34"/>
      <c r="G269" s="34" t="s">
        <v>287</v>
      </c>
      <c r="H269" s="31" t="s">
        <v>288</v>
      </c>
      <c r="I269" s="34" t="s">
        <v>289</v>
      </c>
      <c r="J269" s="34" t="s">
        <v>297</v>
      </c>
      <c r="K269" s="31" t="s">
        <v>263</v>
      </c>
      <c r="L269" s="34" t="s">
        <v>222</v>
      </c>
      <c r="M269" s="31">
        <v>7901</v>
      </c>
      <c r="N269" s="31">
        <v>371094</v>
      </c>
      <c r="O269" s="34">
        <v>10792042</v>
      </c>
      <c r="P269" s="57">
        <v>2</v>
      </c>
      <c r="Q269" s="57" t="s">
        <v>26</v>
      </c>
      <c r="R269" s="58">
        <v>9</v>
      </c>
      <c r="S269" s="59">
        <v>18</v>
      </c>
    </row>
    <row r="270" spans="1:19" s="4" customFormat="1" ht="15" hidden="1" customHeight="1" x14ac:dyDescent="0.2">
      <c r="A270" s="29">
        <v>313</v>
      </c>
      <c r="B270" s="56">
        <v>45376</v>
      </c>
      <c r="C270" s="55">
        <v>45352</v>
      </c>
      <c r="D270" s="34" t="s">
        <v>285</v>
      </c>
      <c r="E270" s="34" t="s">
        <v>28</v>
      </c>
      <c r="F270" s="34"/>
      <c r="G270" s="34" t="s">
        <v>287</v>
      </c>
      <c r="H270" s="31" t="s">
        <v>288</v>
      </c>
      <c r="I270" s="34" t="s">
        <v>289</v>
      </c>
      <c r="J270" s="34" t="s">
        <v>297</v>
      </c>
      <c r="K270" s="31" t="s">
        <v>263</v>
      </c>
      <c r="L270" s="34" t="s">
        <v>222</v>
      </c>
      <c r="M270" s="31">
        <v>7901</v>
      </c>
      <c r="N270" s="31">
        <v>371094</v>
      </c>
      <c r="O270" s="34">
        <v>10792042</v>
      </c>
      <c r="P270" s="57">
        <v>6</v>
      </c>
      <c r="Q270" s="57" t="s">
        <v>26</v>
      </c>
      <c r="R270" s="58">
        <v>30</v>
      </c>
      <c r="S270" s="59">
        <v>180</v>
      </c>
    </row>
    <row r="271" spans="1:19" s="4" customFormat="1" ht="15" hidden="1" customHeight="1" x14ac:dyDescent="0.2">
      <c r="A271" s="29">
        <v>314</v>
      </c>
      <c r="B271" s="56">
        <v>45376</v>
      </c>
      <c r="C271" s="55">
        <v>45352</v>
      </c>
      <c r="D271" s="34" t="s">
        <v>285</v>
      </c>
      <c r="E271" s="34" t="s">
        <v>28</v>
      </c>
      <c r="F271" s="34"/>
      <c r="G271" s="34" t="s">
        <v>287</v>
      </c>
      <c r="H271" s="31" t="s">
        <v>288</v>
      </c>
      <c r="I271" s="34" t="s">
        <v>289</v>
      </c>
      <c r="J271" s="34" t="s">
        <v>295</v>
      </c>
      <c r="K271" s="31" t="s">
        <v>263</v>
      </c>
      <c r="L271" s="34" t="s">
        <v>222</v>
      </c>
      <c r="M271" s="31">
        <v>7901</v>
      </c>
      <c r="N271" s="31">
        <v>371094</v>
      </c>
      <c r="O271" s="34">
        <v>10792042</v>
      </c>
      <c r="P271" s="57">
        <v>1</v>
      </c>
      <c r="Q271" s="57" t="s">
        <v>26</v>
      </c>
      <c r="R271" s="58">
        <v>325</v>
      </c>
      <c r="S271" s="59">
        <v>325</v>
      </c>
    </row>
    <row r="272" spans="1:19" s="4" customFormat="1" ht="15" hidden="1" customHeight="1" x14ac:dyDescent="0.2">
      <c r="A272" s="29">
        <v>315</v>
      </c>
      <c r="B272" s="56">
        <v>45376</v>
      </c>
      <c r="C272" s="55">
        <v>45352</v>
      </c>
      <c r="D272" s="34" t="s">
        <v>285</v>
      </c>
      <c r="E272" s="34" t="s">
        <v>28</v>
      </c>
      <c r="F272" s="34"/>
      <c r="G272" s="34" t="s">
        <v>287</v>
      </c>
      <c r="H272" s="31" t="s">
        <v>288</v>
      </c>
      <c r="I272" s="34" t="s">
        <v>289</v>
      </c>
      <c r="J272" s="34" t="s">
        <v>294</v>
      </c>
      <c r="K272" s="31" t="s">
        <v>263</v>
      </c>
      <c r="L272" s="34" t="s">
        <v>222</v>
      </c>
      <c r="M272" s="31">
        <v>7901</v>
      </c>
      <c r="N272" s="31">
        <v>371094</v>
      </c>
      <c r="O272" s="34">
        <v>10792042</v>
      </c>
      <c r="P272" s="57">
        <v>2</v>
      </c>
      <c r="Q272" s="57" t="s">
        <v>26</v>
      </c>
      <c r="R272" s="58">
        <v>278</v>
      </c>
      <c r="S272" s="59">
        <v>556</v>
      </c>
    </row>
    <row r="273" spans="1:19" s="4" customFormat="1" ht="15" hidden="1" customHeight="1" x14ac:dyDescent="0.2">
      <c r="A273" s="29">
        <v>316</v>
      </c>
      <c r="B273" s="56">
        <v>45376</v>
      </c>
      <c r="C273" s="55">
        <v>45352</v>
      </c>
      <c r="D273" s="34" t="s">
        <v>285</v>
      </c>
      <c r="E273" s="34" t="s">
        <v>28</v>
      </c>
      <c r="F273" s="34"/>
      <c r="G273" s="34" t="s">
        <v>287</v>
      </c>
      <c r="H273" s="31" t="s">
        <v>288</v>
      </c>
      <c r="I273" s="34" t="s">
        <v>289</v>
      </c>
      <c r="J273" s="34" t="s">
        <v>294</v>
      </c>
      <c r="K273" s="31" t="s">
        <v>263</v>
      </c>
      <c r="L273" s="34" t="s">
        <v>222</v>
      </c>
      <c r="M273" s="31">
        <v>7901</v>
      </c>
      <c r="N273" s="31">
        <v>371094</v>
      </c>
      <c r="O273" s="34">
        <v>10792042</v>
      </c>
      <c r="P273" s="57">
        <v>2</v>
      </c>
      <c r="Q273" s="57" t="s">
        <v>26</v>
      </c>
      <c r="R273" s="58">
        <v>278</v>
      </c>
      <c r="S273" s="59">
        <v>556</v>
      </c>
    </row>
    <row r="274" spans="1:19" s="4" customFormat="1" ht="15" hidden="1" customHeight="1" x14ac:dyDescent="0.2">
      <c r="A274" s="29">
        <v>317</v>
      </c>
      <c r="B274" s="56">
        <v>45376</v>
      </c>
      <c r="C274" s="55">
        <v>45352</v>
      </c>
      <c r="D274" s="34" t="s">
        <v>285</v>
      </c>
      <c r="E274" s="34" t="s">
        <v>28</v>
      </c>
      <c r="F274" s="34"/>
      <c r="G274" s="34" t="s">
        <v>287</v>
      </c>
      <c r="H274" s="31" t="s">
        <v>288</v>
      </c>
      <c r="I274" s="34" t="s">
        <v>289</v>
      </c>
      <c r="J274" s="34" t="s">
        <v>293</v>
      </c>
      <c r="K274" s="31" t="s">
        <v>263</v>
      </c>
      <c r="L274" s="34" t="s">
        <v>222</v>
      </c>
      <c r="M274" s="31">
        <v>7901</v>
      </c>
      <c r="N274" s="31">
        <v>371094</v>
      </c>
      <c r="O274" s="34">
        <v>10792042</v>
      </c>
      <c r="P274" s="57">
        <v>3</v>
      </c>
      <c r="Q274" s="57" t="s">
        <v>26</v>
      </c>
      <c r="R274" s="58">
        <v>127</v>
      </c>
      <c r="S274" s="59">
        <v>381</v>
      </c>
    </row>
    <row r="275" spans="1:19" s="4" customFormat="1" ht="15" hidden="1" customHeight="1" x14ac:dyDescent="0.2">
      <c r="A275" s="29">
        <v>318</v>
      </c>
      <c r="B275" s="56">
        <v>45381</v>
      </c>
      <c r="C275" s="55">
        <v>45352</v>
      </c>
      <c r="D275" s="34" t="s">
        <v>285</v>
      </c>
      <c r="E275" s="34" t="s">
        <v>28</v>
      </c>
      <c r="F275" s="34"/>
      <c r="G275" s="34" t="s">
        <v>287</v>
      </c>
      <c r="H275" s="31" t="s">
        <v>288</v>
      </c>
      <c r="I275" s="34" t="s">
        <v>289</v>
      </c>
      <c r="J275" s="34" t="s">
        <v>305</v>
      </c>
      <c r="K275" s="31" t="s">
        <v>263</v>
      </c>
      <c r="L275" s="34" t="s">
        <v>222</v>
      </c>
      <c r="M275" s="31">
        <v>7901</v>
      </c>
      <c r="N275" s="31">
        <v>371094</v>
      </c>
      <c r="O275" s="34">
        <v>10792042</v>
      </c>
      <c r="P275" s="57">
        <v>6</v>
      </c>
      <c r="Q275" s="57" t="s">
        <v>26</v>
      </c>
      <c r="R275" s="58">
        <v>278</v>
      </c>
      <c r="S275" s="59">
        <v>1668</v>
      </c>
    </row>
    <row r="276" spans="1:19" s="4" customFormat="1" ht="15" hidden="1" customHeight="1" x14ac:dyDescent="0.2">
      <c r="A276" s="29">
        <v>319</v>
      </c>
      <c r="B276" s="56">
        <v>45381</v>
      </c>
      <c r="C276" s="55">
        <v>45352</v>
      </c>
      <c r="D276" s="34" t="s">
        <v>285</v>
      </c>
      <c r="E276" s="34" t="s">
        <v>28</v>
      </c>
      <c r="F276" s="34"/>
      <c r="G276" s="34" t="s">
        <v>287</v>
      </c>
      <c r="H276" s="31" t="s">
        <v>288</v>
      </c>
      <c r="I276" s="34" t="s">
        <v>289</v>
      </c>
      <c r="J276" s="34" t="s">
        <v>305</v>
      </c>
      <c r="K276" s="31" t="s">
        <v>263</v>
      </c>
      <c r="L276" s="34" t="s">
        <v>222</v>
      </c>
      <c r="M276" s="31">
        <v>7901</v>
      </c>
      <c r="N276" s="31">
        <v>371094</v>
      </c>
      <c r="O276" s="34">
        <v>10792042</v>
      </c>
      <c r="P276" s="57">
        <v>6</v>
      </c>
      <c r="Q276" s="57" t="s">
        <v>26</v>
      </c>
      <c r="R276" s="58">
        <v>278</v>
      </c>
      <c r="S276" s="59">
        <v>1668</v>
      </c>
    </row>
    <row r="277" spans="1:19" s="4" customFormat="1" ht="15" hidden="1" customHeight="1" x14ac:dyDescent="0.2">
      <c r="A277" s="29">
        <v>320</v>
      </c>
      <c r="B277" s="56">
        <v>45381</v>
      </c>
      <c r="C277" s="55">
        <v>45352</v>
      </c>
      <c r="D277" s="34" t="s">
        <v>285</v>
      </c>
      <c r="E277" s="34" t="s">
        <v>28</v>
      </c>
      <c r="F277" s="34"/>
      <c r="G277" s="34" t="s">
        <v>287</v>
      </c>
      <c r="H277" s="31" t="s">
        <v>288</v>
      </c>
      <c r="I277" s="34" t="s">
        <v>289</v>
      </c>
      <c r="J277" s="34" t="s">
        <v>306</v>
      </c>
      <c r="K277" s="31" t="s">
        <v>263</v>
      </c>
      <c r="L277" s="34" t="s">
        <v>222</v>
      </c>
      <c r="M277" s="31">
        <v>7901</v>
      </c>
      <c r="N277" s="31">
        <v>371094</v>
      </c>
      <c r="O277" s="34">
        <v>10792042</v>
      </c>
      <c r="P277" s="57">
        <v>10</v>
      </c>
      <c r="Q277" s="57" t="s">
        <v>26</v>
      </c>
      <c r="R277" s="58">
        <v>8.5</v>
      </c>
      <c r="S277" s="59">
        <v>85</v>
      </c>
    </row>
    <row r="278" spans="1:19" s="4" customFormat="1" ht="15" hidden="1" customHeight="1" x14ac:dyDescent="0.2">
      <c r="A278" s="29">
        <v>321</v>
      </c>
      <c r="B278" s="56">
        <v>45381</v>
      </c>
      <c r="C278" s="55">
        <v>45352</v>
      </c>
      <c r="D278" s="34" t="s">
        <v>285</v>
      </c>
      <c r="E278" s="34" t="s">
        <v>28</v>
      </c>
      <c r="F278" s="34"/>
      <c r="G278" s="34" t="s">
        <v>287</v>
      </c>
      <c r="H278" s="31" t="s">
        <v>288</v>
      </c>
      <c r="I278" s="34" t="s">
        <v>289</v>
      </c>
      <c r="J278" s="34" t="s">
        <v>306</v>
      </c>
      <c r="K278" s="31" t="s">
        <v>263</v>
      </c>
      <c r="L278" s="34" t="s">
        <v>222</v>
      </c>
      <c r="M278" s="31">
        <v>7901</v>
      </c>
      <c r="N278" s="31">
        <v>371094</v>
      </c>
      <c r="O278" s="34">
        <v>10792042</v>
      </c>
      <c r="P278" s="57">
        <v>6</v>
      </c>
      <c r="Q278" s="57" t="s">
        <v>26</v>
      </c>
      <c r="R278" s="58">
        <v>8.5</v>
      </c>
      <c r="S278" s="59">
        <v>51</v>
      </c>
    </row>
    <row r="279" spans="1:19" s="4" customFormat="1" ht="15" hidden="1" customHeight="1" x14ac:dyDescent="0.2">
      <c r="A279" s="29">
        <v>322</v>
      </c>
      <c r="B279" s="56">
        <v>45381</v>
      </c>
      <c r="C279" s="55">
        <v>45352</v>
      </c>
      <c r="D279" s="34" t="s">
        <v>285</v>
      </c>
      <c r="E279" s="34" t="s">
        <v>28</v>
      </c>
      <c r="F279" s="34"/>
      <c r="G279" s="34" t="s">
        <v>287</v>
      </c>
      <c r="H279" s="31" t="s">
        <v>288</v>
      </c>
      <c r="I279" s="34" t="s">
        <v>289</v>
      </c>
      <c r="J279" s="34" t="s">
        <v>306</v>
      </c>
      <c r="K279" s="31" t="s">
        <v>263</v>
      </c>
      <c r="L279" s="34" t="s">
        <v>222</v>
      </c>
      <c r="M279" s="31">
        <v>7901</v>
      </c>
      <c r="N279" s="31">
        <v>371094</v>
      </c>
      <c r="O279" s="34">
        <v>10792042</v>
      </c>
      <c r="P279" s="57">
        <v>10</v>
      </c>
      <c r="Q279" s="57" t="s">
        <v>26</v>
      </c>
      <c r="R279" s="58">
        <v>15</v>
      </c>
      <c r="S279" s="59">
        <v>150</v>
      </c>
    </row>
    <row r="280" spans="1:19" s="4" customFormat="1" ht="15" hidden="1" customHeight="1" x14ac:dyDescent="0.2">
      <c r="A280" s="29">
        <v>323</v>
      </c>
      <c r="B280" s="56">
        <v>45381</v>
      </c>
      <c r="C280" s="55">
        <v>45352</v>
      </c>
      <c r="D280" s="34" t="s">
        <v>285</v>
      </c>
      <c r="E280" s="34" t="s">
        <v>383</v>
      </c>
      <c r="F280" s="34"/>
      <c r="G280" s="34" t="s">
        <v>287</v>
      </c>
      <c r="H280" s="31" t="s">
        <v>288</v>
      </c>
      <c r="I280" s="34" t="s">
        <v>289</v>
      </c>
      <c r="J280" s="34" t="s">
        <v>307</v>
      </c>
      <c r="K280" s="31" t="s">
        <v>263</v>
      </c>
      <c r="L280" s="34" t="s">
        <v>222</v>
      </c>
      <c r="M280" s="31">
        <v>7901</v>
      </c>
      <c r="N280" s="31">
        <v>371065</v>
      </c>
      <c r="O280" s="34">
        <v>10792042</v>
      </c>
      <c r="P280" s="57">
        <v>1</v>
      </c>
      <c r="Q280" s="57" t="s">
        <v>26</v>
      </c>
      <c r="R280" s="58">
        <v>127</v>
      </c>
      <c r="S280" s="59">
        <v>127</v>
      </c>
    </row>
    <row r="281" spans="1:19" s="4" customFormat="1" ht="15" hidden="1" customHeight="1" x14ac:dyDescent="0.2">
      <c r="A281" s="29">
        <v>324</v>
      </c>
      <c r="B281" s="56">
        <v>45381</v>
      </c>
      <c r="C281" s="55">
        <v>45352</v>
      </c>
      <c r="D281" s="34" t="s">
        <v>285</v>
      </c>
      <c r="E281" s="34" t="s">
        <v>383</v>
      </c>
      <c r="F281" s="34"/>
      <c r="G281" s="34" t="s">
        <v>287</v>
      </c>
      <c r="H281" s="31" t="s">
        <v>288</v>
      </c>
      <c r="I281" s="34" t="s">
        <v>289</v>
      </c>
      <c r="J281" s="34" t="s">
        <v>307</v>
      </c>
      <c r="K281" s="31" t="s">
        <v>263</v>
      </c>
      <c r="L281" s="34" t="s">
        <v>222</v>
      </c>
      <c r="M281" s="31">
        <v>7901</v>
      </c>
      <c r="N281" s="31">
        <v>371065</v>
      </c>
      <c r="O281" s="34">
        <v>10792042</v>
      </c>
      <c r="P281" s="57">
        <v>2</v>
      </c>
      <c r="Q281" s="57" t="s">
        <v>26</v>
      </c>
      <c r="R281" s="58">
        <v>278</v>
      </c>
      <c r="S281" s="59">
        <v>556</v>
      </c>
    </row>
    <row r="282" spans="1:19" s="4" customFormat="1" ht="15" hidden="1" customHeight="1" x14ac:dyDescent="0.2">
      <c r="A282" s="29">
        <v>325</v>
      </c>
      <c r="B282" s="56">
        <v>45381</v>
      </c>
      <c r="C282" s="55">
        <v>45352</v>
      </c>
      <c r="D282" s="34" t="s">
        <v>285</v>
      </c>
      <c r="E282" s="34" t="s">
        <v>383</v>
      </c>
      <c r="F282" s="34"/>
      <c r="G282" s="34" t="s">
        <v>287</v>
      </c>
      <c r="H282" s="31" t="s">
        <v>288</v>
      </c>
      <c r="I282" s="34" t="s">
        <v>289</v>
      </c>
      <c r="J282" s="34" t="s">
        <v>307</v>
      </c>
      <c r="K282" s="31" t="s">
        <v>263</v>
      </c>
      <c r="L282" s="34" t="s">
        <v>222</v>
      </c>
      <c r="M282" s="31">
        <v>7901</v>
      </c>
      <c r="N282" s="31">
        <v>371065</v>
      </c>
      <c r="O282" s="34">
        <v>10792042</v>
      </c>
      <c r="P282" s="57">
        <v>2</v>
      </c>
      <c r="Q282" s="57" t="s">
        <v>26</v>
      </c>
      <c r="R282" s="58">
        <v>278</v>
      </c>
      <c r="S282" s="59">
        <v>556</v>
      </c>
    </row>
    <row r="283" spans="1:19" s="4" customFormat="1" ht="15" hidden="1" customHeight="1" x14ac:dyDescent="0.2">
      <c r="A283" s="29">
        <v>326</v>
      </c>
      <c r="B283" s="56">
        <v>45381</v>
      </c>
      <c r="C283" s="55">
        <v>45352</v>
      </c>
      <c r="D283" s="34" t="s">
        <v>285</v>
      </c>
      <c r="E283" s="34" t="s">
        <v>383</v>
      </c>
      <c r="F283" s="34"/>
      <c r="G283" s="34" t="s">
        <v>287</v>
      </c>
      <c r="H283" s="31" t="s">
        <v>288</v>
      </c>
      <c r="I283" s="34" t="s">
        <v>289</v>
      </c>
      <c r="J283" s="34" t="s">
        <v>307</v>
      </c>
      <c r="K283" s="31" t="s">
        <v>263</v>
      </c>
      <c r="L283" s="34" t="s">
        <v>222</v>
      </c>
      <c r="M283" s="31">
        <v>7901</v>
      </c>
      <c r="N283" s="31">
        <v>371065</v>
      </c>
      <c r="O283" s="34">
        <v>10792042</v>
      </c>
      <c r="P283" s="57">
        <v>2</v>
      </c>
      <c r="Q283" s="57" t="s">
        <v>26</v>
      </c>
      <c r="R283" s="58">
        <v>127</v>
      </c>
      <c r="S283" s="59">
        <v>254</v>
      </c>
    </row>
    <row r="284" spans="1:19" s="4" customFormat="1" ht="15" hidden="1" customHeight="1" x14ac:dyDescent="0.2">
      <c r="A284" s="29">
        <v>327</v>
      </c>
      <c r="B284" s="56">
        <v>45381</v>
      </c>
      <c r="C284" s="55">
        <v>45352</v>
      </c>
      <c r="D284" s="34" t="s">
        <v>285</v>
      </c>
      <c r="E284" s="34" t="s">
        <v>383</v>
      </c>
      <c r="F284" s="34"/>
      <c r="G284" s="34" t="s">
        <v>287</v>
      </c>
      <c r="H284" s="31" t="s">
        <v>288</v>
      </c>
      <c r="I284" s="34" t="s">
        <v>289</v>
      </c>
      <c r="J284" s="34" t="s">
        <v>307</v>
      </c>
      <c r="K284" s="31" t="s">
        <v>263</v>
      </c>
      <c r="L284" s="34" t="s">
        <v>222</v>
      </c>
      <c r="M284" s="31">
        <v>7901</v>
      </c>
      <c r="N284" s="31">
        <v>371065</v>
      </c>
      <c r="O284" s="34">
        <v>10792042</v>
      </c>
      <c r="P284" s="57">
        <v>2</v>
      </c>
      <c r="Q284" s="57" t="s">
        <v>26</v>
      </c>
      <c r="R284" s="58">
        <v>278</v>
      </c>
      <c r="S284" s="59">
        <v>556</v>
      </c>
    </row>
    <row r="285" spans="1:19" s="4" customFormat="1" ht="15" hidden="1" customHeight="1" x14ac:dyDescent="0.2">
      <c r="A285" s="29">
        <v>328</v>
      </c>
      <c r="B285" s="56">
        <v>45381</v>
      </c>
      <c r="C285" s="55">
        <v>45352</v>
      </c>
      <c r="D285" s="34" t="s">
        <v>285</v>
      </c>
      <c r="E285" s="34" t="s">
        <v>383</v>
      </c>
      <c r="F285" s="34"/>
      <c r="G285" s="34" t="s">
        <v>287</v>
      </c>
      <c r="H285" s="31" t="s">
        <v>288</v>
      </c>
      <c r="I285" s="34" t="s">
        <v>289</v>
      </c>
      <c r="J285" s="34" t="s">
        <v>307</v>
      </c>
      <c r="K285" s="31" t="s">
        <v>263</v>
      </c>
      <c r="L285" s="34" t="s">
        <v>222</v>
      </c>
      <c r="M285" s="31">
        <v>7901</v>
      </c>
      <c r="N285" s="31">
        <v>371065</v>
      </c>
      <c r="O285" s="34">
        <v>10792042</v>
      </c>
      <c r="P285" s="57">
        <v>2</v>
      </c>
      <c r="Q285" s="57" t="s">
        <v>26</v>
      </c>
      <c r="R285" s="58">
        <v>127</v>
      </c>
      <c r="S285" s="59">
        <v>254</v>
      </c>
    </row>
    <row r="286" spans="1:19" s="4" customFormat="1" ht="15" hidden="1" customHeight="1" x14ac:dyDescent="0.2">
      <c r="A286" s="29">
        <v>329</v>
      </c>
      <c r="B286" s="56">
        <v>45381</v>
      </c>
      <c r="C286" s="55">
        <v>45352</v>
      </c>
      <c r="D286" s="34" t="s">
        <v>285</v>
      </c>
      <c r="E286" s="34" t="s">
        <v>74</v>
      </c>
      <c r="F286" s="34"/>
      <c r="G286" s="34" t="s">
        <v>287</v>
      </c>
      <c r="H286" s="31" t="s">
        <v>288</v>
      </c>
      <c r="I286" s="34" t="s">
        <v>289</v>
      </c>
      <c r="J286" s="34" t="s">
        <v>295</v>
      </c>
      <c r="K286" s="31" t="s">
        <v>263</v>
      </c>
      <c r="L286" s="34" t="s">
        <v>222</v>
      </c>
      <c r="M286" s="31">
        <v>7901</v>
      </c>
      <c r="N286" s="31">
        <v>371045</v>
      </c>
      <c r="O286" s="34">
        <v>10792042</v>
      </c>
      <c r="P286" s="57">
        <v>1</v>
      </c>
      <c r="Q286" s="57" t="s">
        <v>26</v>
      </c>
      <c r="R286" s="58">
        <v>238</v>
      </c>
      <c r="S286" s="59">
        <v>238</v>
      </c>
    </row>
    <row r="287" spans="1:19" s="4" customFormat="1" ht="15" hidden="1" customHeight="1" x14ac:dyDescent="0.2">
      <c r="A287" s="29">
        <v>330</v>
      </c>
      <c r="B287" s="56">
        <v>45381</v>
      </c>
      <c r="C287" s="55">
        <v>45352</v>
      </c>
      <c r="D287" s="34" t="s">
        <v>285</v>
      </c>
      <c r="E287" s="34" t="s">
        <v>74</v>
      </c>
      <c r="F287" s="34"/>
      <c r="G287" s="34" t="s">
        <v>287</v>
      </c>
      <c r="H287" s="31" t="s">
        <v>288</v>
      </c>
      <c r="I287" s="34" t="s">
        <v>289</v>
      </c>
      <c r="J287" s="34" t="s">
        <v>292</v>
      </c>
      <c r="K287" s="31" t="s">
        <v>263</v>
      </c>
      <c r="L287" s="34" t="s">
        <v>222</v>
      </c>
      <c r="M287" s="31">
        <v>7901</v>
      </c>
      <c r="N287" s="31">
        <v>371045</v>
      </c>
      <c r="O287" s="34">
        <v>10792042</v>
      </c>
      <c r="P287" s="57">
        <v>6</v>
      </c>
      <c r="Q287" s="57" t="s">
        <v>26</v>
      </c>
      <c r="R287" s="58">
        <v>74.8</v>
      </c>
      <c r="S287" s="59">
        <v>448.79999999999995</v>
      </c>
    </row>
    <row r="288" spans="1:19" s="4" customFormat="1" ht="15" hidden="1" customHeight="1" x14ac:dyDescent="0.2">
      <c r="A288" s="29">
        <v>331</v>
      </c>
      <c r="B288" s="56">
        <v>45381</v>
      </c>
      <c r="C288" s="55">
        <v>45352</v>
      </c>
      <c r="D288" s="34" t="s">
        <v>285</v>
      </c>
      <c r="E288" s="34" t="s">
        <v>74</v>
      </c>
      <c r="F288" s="34"/>
      <c r="G288" s="34" t="s">
        <v>287</v>
      </c>
      <c r="H288" s="31" t="s">
        <v>288</v>
      </c>
      <c r="I288" s="34" t="s">
        <v>289</v>
      </c>
      <c r="J288" s="34" t="s">
        <v>293</v>
      </c>
      <c r="K288" s="31" t="s">
        <v>263</v>
      </c>
      <c r="L288" s="34" t="s">
        <v>222</v>
      </c>
      <c r="M288" s="31">
        <v>7901</v>
      </c>
      <c r="N288" s="31">
        <v>371045</v>
      </c>
      <c r="O288" s="34">
        <v>10792042</v>
      </c>
      <c r="P288" s="57">
        <v>1</v>
      </c>
      <c r="Q288" s="57" t="s">
        <v>26</v>
      </c>
      <c r="R288" s="58">
        <v>127</v>
      </c>
      <c r="S288" s="59">
        <v>127</v>
      </c>
    </row>
    <row r="289" spans="1:19" s="4" customFormat="1" ht="15" hidden="1" customHeight="1" x14ac:dyDescent="0.2">
      <c r="A289" s="29">
        <v>332</v>
      </c>
      <c r="B289" s="56">
        <v>45381</v>
      </c>
      <c r="C289" s="55">
        <v>45352</v>
      </c>
      <c r="D289" s="34" t="s">
        <v>285</v>
      </c>
      <c r="E289" s="34" t="s">
        <v>74</v>
      </c>
      <c r="F289" s="34"/>
      <c r="G289" s="34" t="s">
        <v>287</v>
      </c>
      <c r="H289" s="31" t="s">
        <v>288</v>
      </c>
      <c r="I289" s="34" t="s">
        <v>289</v>
      </c>
      <c r="J289" s="34" t="s">
        <v>308</v>
      </c>
      <c r="K289" s="31" t="s">
        <v>263</v>
      </c>
      <c r="L289" s="34" t="s">
        <v>222</v>
      </c>
      <c r="M289" s="31">
        <v>7901</v>
      </c>
      <c r="N289" s="31">
        <v>371045</v>
      </c>
      <c r="O289" s="34">
        <v>10792042</v>
      </c>
      <c r="P289" s="57">
        <v>15</v>
      </c>
      <c r="Q289" s="57" t="s">
        <v>26</v>
      </c>
      <c r="R289" s="58">
        <v>9</v>
      </c>
      <c r="S289" s="59">
        <v>135</v>
      </c>
    </row>
    <row r="290" spans="1:19" s="4" customFormat="1" ht="15" hidden="1" customHeight="1" x14ac:dyDescent="0.2">
      <c r="A290" s="29">
        <v>333</v>
      </c>
      <c r="B290" s="56">
        <v>45381</v>
      </c>
      <c r="C290" s="55">
        <v>45352</v>
      </c>
      <c r="D290" s="34" t="s">
        <v>285</v>
      </c>
      <c r="E290" s="34" t="s">
        <v>74</v>
      </c>
      <c r="F290" s="34"/>
      <c r="G290" s="34" t="s">
        <v>287</v>
      </c>
      <c r="H290" s="31" t="s">
        <v>288</v>
      </c>
      <c r="I290" s="34" t="s">
        <v>289</v>
      </c>
      <c r="J290" s="34" t="s">
        <v>308</v>
      </c>
      <c r="K290" s="31" t="s">
        <v>263</v>
      </c>
      <c r="L290" s="34" t="s">
        <v>222</v>
      </c>
      <c r="M290" s="31">
        <v>7901</v>
      </c>
      <c r="N290" s="31">
        <v>371045</v>
      </c>
      <c r="O290" s="34">
        <v>10792042</v>
      </c>
      <c r="P290" s="57">
        <v>7</v>
      </c>
      <c r="Q290" s="57" t="s">
        <v>26</v>
      </c>
      <c r="R290" s="58">
        <v>1.8</v>
      </c>
      <c r="S290" s="59">
        <v>12.6</v>
      </c>
    </row>
    <row r="291" spans="1:19" s="4" customFormat="1" ht="15" hidden="1" customHeight="1" x14ac:dyDescent="0.2">
      <c r="A291" s="29">
        <v>334</v>
      </c>
      <c r="B291" s="56">
        <v>45381</v>
      </c>
      <c r="C291" s="55">
        <v>45352</v>
      </c>
      <c r="D291" s="34" t="s">
        <v>285</v>
      </c>
      <c r="E291" s="34" t="s">
        <v>74</v>
      </c>
      <c r="F291" s="34"/>
      <c r="G291" s="34" t="s">
        <v>287</v>
      </c>
      <c r="H291" s="31" t="s">
        <v>288</v>
      </c>
      <c r="I291" s="34" t="s">
        <v>289</v>
      </c>
      <c r="J291" s="34" t="s">
        <v>308</v>
      </c>
      <c r="K291" s="31" t="s">
        <v>263</v>
      </c>
      <c r="L291" s="34" t="s">
        <v>222</v>
      </c>
      <c r="M291" s="31">
        <v>7901</v>
      </c>
      <c r="N291" s="31">
        <v>371045</v>
      </c>
      <c r="O291" s="34">
        <v>10792042</v>
      </c>
      <c r="P291" s="57">
        <v>1</v>
      </c>
      <c r="Q291" s="57" t="s">
        <v>26</v>
      </c>
      <c r="R291" s="58">
        <v>78</v>
      </c>
      <c r="S291" s="59">
        <v>78</v>
      </c>
    </row>
    <row r="292" spans="1:19" s="4" customFormat="1" ht="15" hidden="1" customHeight="1" x14ac:dyDescent="0.2">
      <c r="A292" s="29">
        <v>335</v>
      </c>
      <c r="B292" s="56">
        <v>45386</v>
      </c>
      <c r="C292" s="55">
        <v>45383</v>
      </c>
      <c r="D292" s="34" t="s">
        <v>285</v>
      </c>
      <c r="E292" s="34" t="s">
        <v>383</v>
      </c>
      <c r="F292" s="34"/>
      <c r="G292" s="34" t="s">
        <v>287</v>
      </c>
      <c r="H292" s="31" t="s">
        <v>288</v>
      </c>
      <c r="I292" s="34" t="s">
        <v>289</v>
      </c>
      <c r="J292" s="34" t="s">
        <v>308</v>
      </c>
      <c r="K292" s="31" t="s">
        <v>263</v>
      </c>
      <c r="L292" s="34" t="s">
        <v>222</v>
      </c>
      <c r="M292" s="31">
        <v>7901</v>
      </c>
      <c r="N292" s="31">
        <v>371065</v>
      </c>
      <c r="O292" s="34">
        <v>10792042</v>
      </c>
      <c r="P292" s="57">
        <v>3</v>
      </c>
      <c r="Q292" s="57" t="s">
        <v>26</v>
      </c>
      <c r="R292" s="58">
        <v>13.5</v>
      </c>
      <c r="S292" s="59">
        <v>40.5</v>
      </c>
    </row>
    <row r="293" spans="1:19" s="4" customFormat="1" ht="15" hidden="1" customHeight="1" x14ac:dyDescent="0.2">
      <c r="A293" s="29">
        <v>336</v>
      </c>
      <c r="B293" s="56">
        <v>45386</v>
      </c>
      <c r="C293" s="55">
        <v>45383</v>
      </c>
      <c r="D293" s="34" t="s">
        <v>285</v>
      </c>
      <c r="E293" s="34" t="s">
        <v>383</v>
      </c>
      <c r="F293" s="34"/>
      <c r="G293" s="34" t="s">
        <v>287</v>
      </c>
      <c r="H293" s="31" t="s">
        <v>288</v>
      </c>
      <c r="I293" s="34" t="s">
        <v>289</v>
      </c>
      <c r="J293" s="34" t="s">
        <v>295</v>
      </c>
      <c r="K293" s="31" t="s">
        <v>263</v>
      </c>
      <c r="L293" s="34" t="s">
        <v>222</v>
      </c>
      <c r="M293" s="31">
        <v>7901</v>
      </c>
      <c r="N293" s="31">
        <v>371065</v>
      </c>
      <c r="O293" s="34">
        <v>10792042</v>
      </c>
      <c r="P293" s="57">
        <v>1</v>
      </c>
      <c r="Q293" s="57" t="s">
        <v>26</v>
      </c>
      <c r="R293" s="58">
        <v>325</v>
      </c>
      <c r="S293" s="59">
        <v>325</v>
      </c>
    </row>
    <row r="294" spans="1:19" s="4" customFormat="1" ht="15" hidden="1" customHeight="1" x14ac:dyDescent="0.2">
      <c r="A294" s="29">
        <v>337</v>
      </c>
      <c r="B294" s="56">
        <v>45386</v>
      </c>
      <c r="C294" s="55">
        <v>45383</v>
      </c>
      <c r="D294" s="34" t="s">
        <v>285</v>
      </c>
      <c r="E294" s="34" t="s">
        <v>383</v>
      </c>
      <c r="F294" s="34"/>
      <c r="G294" s="34" t="s">
        <v>287</v>
      </c>
      <c r="H294" s="31" t="s">
        <v>288</v>
      </c>
      <c r="I294" s="34" t="s">
        <v>289</v>
      </c>
      <c r="J294" s="34" t="s">
        <v>295</v>
      </c>
      <c r="K294" s="31" t="s">
        <v>263</v>
      </c>
      <c r="L294" s="34" t="s">
        <v>222</v>
      </c>
      <c r="M294" s="31">
        <v>7901</v>
      </c>
      <c r="N294" s="31">
        <v>371065</v>
      </c>
      <c r="O294" s="34">
        <v>10792042</v>
      </c>
      <c r="P294" s="57">
        <v>1</v>
      </c>
      <c r="Q294" s="57" t="s">
        <v>26</v>
      </c>
      <c r="R294" s="58">
        <v>238</v>
      </c>
      <c r="S294" s="59">
        <v>238</v>
      </c>
    </row>
    <row r="295" spans="1:19" s="4" customFormat="1" ht="15" hidden="1" customHeight="1" x14ac:dyDescent="0.2">
      <c r="A295" s="29">
        <v>338</v>
      </c>
      <c r="B295" s="56">
        <v>45386</v>
      </c>
      <c r="C295" s="55">
        <v>45383</v>
      </c>
      <c r="D295" s="34" t="s">
        <v>285</v>
      </c>
      <c r="E295" s="34" t="s">
        <v>383</v>
      </c>
      <c r="F295" s="34"/>
      <c r="G295" s="34" t="s">
        <v>287</v>
      </c>
      <c r="H295" s="31" t="s">
        <v>288</v>
      </c>
      <c r="I295" s="34" t="s">
        <v>289</v>
      </c>
      <c r="J295" s="34" t="s">
        <v>309</v>
      </c>
      <c r="K295" s="31" t="s">
        <v>263</v>
      </c>
      <c r="L295" s="34" t="s">
        <v>222</v>
      </c>
      <c r="M295" s="31">
        <v>7901</v>
      </c>
      <c r="N295" s="31">
        <v>371065</v>
      </c>
      <c r="O295" s="34">
        <v>10792042</v>
      </c>
      <c r="P295" s="57">
        <v>1</v>
      </c>
      <c r="Q295" s="57" t="s">
        <v>26</v>
      </c>
      <c r="R295" s="58">
        <v>278</v>
      </c>
      <c r="S295" s="59">
        <v>278</v>
      </c>
    </row>
    <row r="296" spans="1:19" s="4" customFormat="1" ht="15" hidden="1" customHeight="1" x14ac:dyDescent="0.2">
      <c r="A296" s="29">
        <v>339</v>
      </c>
      <c r="B296" s="56">
        <v>45386</v>
      </c>
      <c r="C296" s="55">
        <v>45383</v>
      </c>
      <c r="D296" s="34" t="s">
        <v>285</v>
      </c>
      <c r="E296" s="34" t="s">
        <v>383</v>
      </c>
      <c r="F296" s="34"/>
      <c r="G296" s="34" t="s">
        <v>287</v>
      </c>
      <c r="H296" s="31" t="s">
        <v>288</v>
      </c>
      <c r="I296" s="34" t="s">
        <v>289</v>
      </c>
      <c r="J296" s="34" t="s">
        <v>309</v>
      </c>
      <c r="K296" s="31" t="s">
        <v>263</v>
      </c>
      <c r="L296" s="34" t="s">
        <v>222</v>
      </c>
      <c r="M296" s="31">
        <v>7901</v>
      </c>
      <c r="N296" s="31">
        <v>371065</v>
      </c>
      <c r="O296" s="34">
        <v>10792042</v>
      </c>
      <c r="P296" s="57">
        <v>1</v>
      </c>
      <c r="Q296" s="57" t="s">
        <v>26</v>
      </c>
      <c r="R296" s="58">
        <v>278</v>
      </c>
      <c r="S296" s="59">
        <v>278</v>
      </c>
    </row>
    <row r="297" spans="1:19" s="4" customFormat="1" ht="15" hidden="1" customHeight="1" x14ac:dyDescent="0.2">
      <c r="A297" s="29">
        <v>340</v>
      </c>
      <c r="B297" s="56">
        <v>45387</v>
      </c>
      <c r="C297" s="55">
        <v>45383</v>
      </c>
      <c r="D297" s="34" t="s">
        <v>285</v>
      </c>
      <c r="E297" s="34" t="s">
        <v>52</v>
      </c>
      <c r="F297" s="34"/>
      <c r="G297" s="34" t="s">
        <v>287</v>
      </c>
      <c r="H297" s="31" t="s">
        <v>288</v>
      </c>
      <c r="I297" s="34" t="s">
        <v>289</v>
      </c>
      <c r="J297" s="34" t="s">
        <v>295</v>
      </c>
      <c r="K297" s="31" t="s">
        <v>263</v>
      </c>
      <c r="L297" s="34" t="s">
        <v>222</v>
      </c>
      <c r="M297" s="31">
        <v>7901</v>
      </c>
      <c r="N297" s="31">
        <v>371055</v>
      </c>
      <c r="O297" s="34">
        <v>10792042</v>
      </c>
      <c r="P297" s="57">
        <v>15</v>
      </c>
      <c r="Q297" s="57" t="s">
        <v>26</v>
      </c>
      <c r="R297" s="58">
        <v>238</v>
      </c>
      <c r="S297" s="59">
        <v>3570</v>
      </c>
    </row>
    <row r="298" spans="1:19" s="4" customFormat="1" ht="15" hidden="1" customHeight="1" x14ac:dyDescent="0.2">
      <c r="A298" s="29">
        <v>341</v>
      </c>
      <c r="B298" s="56">
        <v>45387</v>
      </c>
      <c r="C298" s="55">
        <v>45383</v>
      </c>
      <c r="D298" s="34" t="s">
        <v>285</v>
      </c>
      <c r="E298" s="34" t="s">
        <v>52</v>
      </c>
      <c r="F298" s="34"/>
      <c r="G298" s="34" t="s">
        <v>287</v>
      </c>
      <c r="H298" s="31" t="s">
        <v>288</v>
      </c>
      <c r="I298" s="34" t="s">
        <v>289</v>
      </c>
      <c r="J298" s="34" t="s">
        <v>310</v>
      </c>
      <c r="K298" s="31" t="s">
        <v>263</v>
      </c>
      <c r="L298" s="34" t="s">
        <v>222</v>
      </c>
      <c r="M298" s="31">
        <v>7901</v>
      </c>
      <c r="N298" s="31">
        <v>371055</v>
      </c>
      <c r="O298" s="34">
        <v>10792042</v>
      </c>
      <c r="P298" s="57">
        <v>20</v>
      </c>
      <c r="Q298" s="57" t="s">
        <v>26</v>
      </c>
      <c r="R298" s="58">
        <v>5</v>
      </c>
      <c r="S298" s="59">
        <v>100</v>
      </c>
    </row>
    <row r="299" spans="1:19" s="4" customFormat="1" ht="15" hidden="1" customHeight="1" x14ac:dyDescent="0.2">
      <c r="A299" s="29">
        <v>342</v>
      </c>
      <c r="B299" s="56">
        <v>45388</v>
      </c>
      <c r="C299" s="55">
        <v>45383</v>
      </c>
      <c r="D299" s="34" t="s">
        <v>285</v>
      </c>
      <c r="E299" s="34" t="s">
        <v>19</v>
      </c>
      <c r="F299" s="34"/>
      <c r="G299" s="34" t="s">
        <v>287</v>
      </c>
      <c r="H299" s="31" t="s">
        <v>288</v>
      </c>
      <c r="I299" s="34" t="s">
        <v>289</v>
      </c>
      <c r="J299" s="34" t="s">
        <v>311</v>
      </c>
      <c r="K299" s="31" t="s">
        <v>263</v>
      </c>
      <c r="L299" s="34" t="s">
        <v>222</v>
      </c>
      <c r="M299" s="31">
        <v>7901</v>
      </c>
      <c r="N299" s="31">
        <v>371075</v>
      </c>
      <c r="O299" s="34">
        <v>10792042</v>
      </c>
      <c r="P299" s="57">
        <v>15</v>
      </c>
      <c r="Q299" s="57" t="s">
        <v>26</v>
      </c>
      <c r="R299" s="58">
        <v>13.5</v>
      </c>
      <c r="S299" s="59">
        <v>202.5</v>
      </c>
    </row>
    <row r="300" spans="1:19" s="4" customFormat="1" ht="15" hidden="1" customHeight="1" x14ac:dyDescent="0.2">
      <c r="A300" s="29">
        <v>343</v>
      </c>
      <c r="B300" s="56">
        <v>45388</v>
      </c>
      <c r="C300" s="55">
        <v>45383</v>
      </c>
      <c r="D300" s="34" t="s">
        <v>285</v>
      </c>
      <c r="E300" s="34" t="s">
        <v>19</v>
      </c>
      <c r="F300" s="34"/>
      <c r="G300" s="34" t="s">
        <v>287</v>
      </c>
      <c r="H300" s="31" t="s">
        <v>288</v>
      </c>
      <c r="I300" s="34" t="s">
        <v>289</v>
      </c>
      <c r="J300" s="34" t="s">
        <v>312</v>
      </c>
      <c r="K300" s="31" t="s">
        <v>263</v>
      </c>
      <c r="L300" s="34" t="s">
        <v>222</v>
      </c>
      <c r="M300" s="31">
        <v>7901</v>
      </c>
      <c r="N300" s="31">
        <v>371075</v>
      </c>
      <c r="O300" s="34">
        <v>10792042</v>
      </c>
      <c r="P300" s="57">
        <v>2</v>
      </c>
      <c r="Q300" s="57" t="s">
        <v>26</v>
      </c>
      <c r="R300" s="58">
        <v>14</v>
      </c>
      <c r="S300" s="59">
        <v>28</v>
      </c>
    </row>
    <row r="301" spans="1:19" s="4" customFormat="1" ht="15" hidden="1" customHeight="1" x14ac:dyDescent="0.2">
      <c r="A301" s="29">
        <v>344</v>
      </c>
      <c r="B301" s="56">
        <v>45388</v>
      </c>
      <c r="C301" s="55">
        <v>45383</v>
      </c>
      <c r="D301" s="34" t="s">
        <v>285</v>
      </c>
      <c r="E301" s="34" t="s">
        <v>19</v>
      </c>
      <c r="F301" s="34"/>
      <c r="G301" s="34" t="s">
        <v>287</v>
      </c>
      <c r="H301" s="31" t="s">
        <v>288</v>
      </c>
      <c r="I301" s="34" t="s">
        <v>289</v>
      </c>
      <c r="J301" s="34" t="s">
        <v>313</v>
      </c>
      <c r="K301" s="31" t="s">
        <v>263</v>
      </c>
      <c r="L301" s="34" t="s">
        <v>222</v>
      </c>
      <c r="M301" s="31">
        <v>7901</v>
      </c>
      <c r="N301" s="31">
        <v>371075</v>
      </c>
      <c r="O301" s="34">
        <v>10792042</v>
      </c>
      <c r="P301" s="57">
        <v>10</v>
      </c>
      <c r="Q301" s="57" t="s">
        <v>26</v>
      </c>
      <c r="R301" s="58">
        <v>13.9</v>
      </c>
      <c r="S301" s="59">
        <v>139</v>
      </c>
    </row>
    <row r="302" spans="1:19" s="4" customFormat="1" ht="15" hidden="1" customHeight="1" x14ac:dyDescent="0.2">
      <c r="A302" s="29">
        <v>345</v>
      </c>
      <c r="B302" s="56">
        <v>45377</v>
      </c>
      <c r="C302" s="55">
        <v>45383</v>
      </c>
      <c r="D302" s="34" t="s">
        <v>41</v>
      </c>
      <c r="E302" s="34" t="s">
        <v>19</v>
      </c>
      <c r="F302" s="34"/>
      <c r="G302" s="34" t="s">
        <v>75</v>
      </c>
      <c r="H302" s="31">
        <v>1000238</v>
      </c>
      <c r="I302" s="34" t="s">
        <v>42</v>
      </c>
      <c r="J302" s="34" t="s">
        <v>314</v>
      </c>
      <c r="K302" s="31" t="s">
        <v>263</v>
      </c>
      <c r="L302" s="34" t="s">
        <v>222</v>
      </c>
      <c r="M302" s="31">
        <v>7901</v>
      </c>
      <c r="N302" s="31">
        <v>371075</v>
      </c>
      <c r="O302" s="34">
        <v>10799376</v>
      </c>
      <c r="P302" s="57">
        <v>1</v>
      </c>
      <c r="Q302" s="57" t="s">
        <v>26</v>
      </c>
      <c r="R302" s="58">
        <v>184.8</v>
      </c>
      <c r="S302" s="59">
        <v>184.8</v>
      </c>
    </row>
    <row r="303" spans="1:19" s="4" customFormat="1" ht="15" hidden="1" customHeight="1" x14ac:dyDescent="0.2">
      <c r="A303" s="29">
        <v>346</v>
      </c>
      <c r="B303" s="56">
        <v>45377</v>
      </c>
      <c r="C303" s="55">
        <v>45383</v>
      </c>
      <c r="D303" s="34" t="s">
        <v>27</v>
      </c>
      <c r="E303" s="34" t="s">
        <v>19</v>
      </c>
      <c r="F303" s="34"/>
      <c r="G303" s="34" t="s">
        <v>75</v>
      </c>
      <c r="H303" s="31">
        <v>1000287</v>
      </c>
      <c r="I303" s="34" t="s">
        <v>30</v>
      </c>
      <c r="J303" s="34" t="s">
        <v>315</v>
      </c>
      <c r="K303" s="31">
        <v>4068</v>
      </c>
      <c r="L303" s="34" t="s">
        <v>249</v>
      </c>
      <c r="M303" s="31" t="s">
        <v>250</v>
      </c>
      <c r="N303" s="31">
        <v>371075</v>
      </c>
      <c r="O303" s="34">
        <v>10799376</v>
      </c>
      <c r="P303" s="57">
        <v>250</v>
      </c>
      <c r="Q303" s="57" t="s">
        <v>34</v>
      </c>
      <c r="R303" s="58">
        <v>12.28</v>
      </c>
      <c r="S303" s="59">
        <v>3070</v>
      </c>
    </row>
    <row r="304" spans="1:19" s="4" customFormat="1" ht="15" hidden="1" customHeight="1" x14ac:dyDescent="0.2">
      <c r="A304" s="29">
        <v>347</v>
      </c>
      <c r="B304" s="56">
        <v>45384</v>
      </c>
      <c r="C304" s="55">
        <v>45383</v>
      </c>
      <c r="D304" s="34" t="s">
        <v>41</v>
      </c>
      <c r="E304" s="34" t="s">
        <v>74</v>
      </c>
      <c r="F304" s="34"/>
      <c r="G304" s="34" t="s">
        <v>75</v>
      </c>
      <c r="H304" s="31">
        <v>1000238</v>
      </c>
      <c r="I304" s="34" t="s">
        <v>42</v>
      </c>
      <c r="J304" s="34" t="s">
        <v>316</v>
      </c>
      <c r="K304" s="31" t="s">
        <v>263</v>
      </c>
      <c r="L304" s="34" t="s">
        <v>222</v>
      </c>
      <c r="M304" s="31">
        <v>7901</v>
      </c>
      <c r="N304" s="31">
        <v>371045</v>
      </c>
      <c r="O304" s="34">
        <v>10799376</v>
      </c>
      <c r="P304" s="57">
        <v>1</v>
      </c>
      <c r="Q304" s="57" t="s">
        <v>26</v>
      </c>
      <c r="R304" s="58">
        <v>179.2</v>
      </c>
      <c r="S304" s="59">
        <v>179.2</v>
      </c>
    </row>
    <row r="305" spans="1:19" s="4" customFormat="1" ht="15" hidden="1" customHeight="1" x14ac:dyDescent="0.2">
      <c r="A305" s="29">
        <v>348</v>
      </c>
      <c r="B305" s="56">
        <v>45384</v>
      </c>
      <c r="C305" s="55">
        <v>45383</v>
      </c>
      <c r="D305" s="34" t="s">
        <v>27</v>
      </c>
      <c r="E305" s="34" t="s">
        <v>74</v>
      </c>
      <c r="F305" s="34"/>
      <c r="G305" s="34" t="s">
        <v>75</v>
      </c>
      <c r="H305" s="31">
        <v>1000287</v>
      </c>
      <c r="I305" s="34" t="s">
        <v>30</v>
      </c>
      <c r="J305" s="34" t="s">
        <v>317</v>
      </c>
      <c r="K305" s="31">
        <v>4002</v>
      </c>
      <c r="L305" s="34" t="s">
        <v>164</v>
      </c>
      <c r="M305" s="31" t="s">
        <v>318</v>
      </c>
      <c r="N305" s="31">
        <v>371045</v>
      </c>
      <c r="O305" s="34">
        <v>10799376</v>
      </c>
      <c r="P305" s="57">
        <v>250</v>
      </c>
      <c r="Q305" s="57" t="s">
        <v>34</v>
      </c>
      <c r="R305" s="58">
        <v>12.28</v>
      </c>
      <c r="S305" s="59">
        <v>3070</v>
      </c>
    </row>
    <row r="306" spans="1:19" s="4" customFormat="1" ht="15" hidden="1" customHeight="1" x14ac:dyDescent="0.2">
      <c r="A306" s="29">
        <v>349</v>
      </c>
      <c r="B306" s="56">
        <v>45389</v>
      </c>
      <c r="C306" s="55">
        <v>45383</v>
      </c>
      <c r="D306" s="34" t="s">
        <v>41</v>
      </c>
      <c r="E306" s="34" t="s">
        <v>383</v>
      </c>
      <c r="F306" s="34"/>
      <c r="G306" s="34" t="s">
        <v>75</v>
      </c>
      <c r="H306" s="31">
        <v>1000238</v>
      </c>
      <c r="I306" s="34" t="s">
        <v>42</v>
      </c>
      <c r="J306" s="34" t="s">
        <v>319</v>
      </c>
      <c r="K306" s="31" t="s">
        <v>263</v>
      </c>
      <c r="L306" s="34" t="s">
        <v>222</v>
      </c>
      <c r="M306" s="31">
        <v>7901</v>
      </c>
      <c r="N306" s="31">
        <v>371065</v>
      </c>
      <c r="O306" s="34">
        <v>10799376</v>
      </c>
      <c r="P306" s="57">
        <v>1</v>
      </c>
      <c r="Q306" s="57" t="s">
        <v>26</v>
      </c>
      <c r="R306" s="58">
        <v>358.59</v>
      </c>
      <c r="S306" s="59">
        <v>358.59</v>
      </c>
    </row>
    <row r="307" spans="1:19" s="4" customFormat="1" ht="15" hidden="1" customHeight="1" x14ac:dyDescent="0.2">
      <c r="A307" s="29">
        <v>350</v>
      </c>
      <c r="B307" s="56">
        <v>45389</v>
      </c>
      <c r="C307" s="55">
        <v>45383</v>
      </c>
      <c r="D307" s="34" t="s">
        <v>27</v>
      </c>
      <c r="E307" s="34" t="s">
        <v>383</v>
      </c>
      <c r="F307" s="34"/>
      <c r="G307" s="34" t="s">
        <v>75</v>
      </c>
      <c r="H307" s="31">
        <v>1000287</v>
      </c>
      <c r="I307" s="34" t="s">
        <v>30</v>
      </c>
      <c r="J307" s="34" t="s">
        <v>320</v>
      </c>
      <c r="K307" s="31">
        <v>4048</v>
      </c>
      <c r="L307" s="34" t="s">
        <v>77</v>
      </c>
      <c r="M307" s="31" t="s">
        <v>208</v>
      </c>
      <c r="N307" s="31">
        <v>371065</v>
      </c>
      <c r="O307" s="34">
        <v>10799376</v>
      </c>
      <c r="P307" s="57">
        <v>374</v>
      </c>
      <c r="Q307" s="57" t="s">
        <v>34</v>
      </c>
      <c r="R307" s="58">
        <v>12.28</v>
      </c>
      <c r="S307" s="59">
        <v>4592.7199999999993</v>
      </c>
    </row>
    <row r="308" spans="1:19" s="4" customFormat="1" ht="15" hidden="1" customHeight="1" x14ac:dyDescent="0.2">
      <c r="A308" s="29">
        <v>351</v>
      </c>
      <c r="B308" s="56">
        <v>45386</v>
      </c>
      <c r="C308" s="55">
        <v>45383</v>
      </c>
      <c r="D308" s="34" t="s">
        <v>41</v>
      </c>
      <c r="E308" s="34" t="s">
        <v>52</v>
      </c>
      <c r="F308" s="34"/>
      <c r="G308" s="34" t="s">
        <v>29</v>
      </c>
      <c r="H308" s="31">
        <v>1000238</v>
      </c>
      <c r="I308" s="34" t="s">
        <v>42</v>
      </c>
      <c r="J308" s="34" t="s">
        <v>321</v>
      </c>
      <c r="K308" s="31" t="s">
        <v>263</v>
      </c>
      <c r="L308" s="34" t="s">
        <v>222</v>
      </c>
      <c r="M308" s="31" t="s">
        <v>145</v>
      </c>
      <c r="N308" s="31">
        <v>371055</v>
      </c>
      <c r="O308" s="34">
        <v>10798920</v>
      </c>
      <c r="P308" s="57">
        <v>1</v>
      </c>
      <c r="Q308" s="57" t="s">
        <v>26</v>
      </c>
      <c r="R308" s="58">
        <v>236.6</v>
      </c>
      <c r="S308" s="59">
        <v>236.6</v>
      </c>
    </row>
    <row r="309" spans="1:19" s="4" customFormat="1" ht="15" hidden="1" customHeight="1" x14ac:dyDescent="0.2">
      <c r="A309" s="29">
        <v>352</v>
      </c>
      <c r="B309" s="56">
        <v>45386</v>
      </c>
      <c r="C309" s="55">
        <v>45383</v>
      </c>
      <c r="D309" s="34" t="s">
        <v>27</v>
      </c>
      <c r="E309" s="34" t="s">
        <v>52</v>
      </c>
      <c r="F309" s="34"/>
      <c r="G309" s="34" t="s">
        <v>29</v>
      </c>
      <c r="H309" s="31">
        <v>1000287</v>
      </c>
      <c r="I309" s="34" t="s">
        <v>30</v>
      </c>
      <c r="J309" s="34" t="s">
        <v>322</v>
      </c>
      <c r="K309" s="31">
        <v>4071</v>
      </c>
      <c r="L309" s="34" t="s">
        <v>144</v>
      </c>
      <c r="M309" s="31">
        <v>7901</v>
      </c>
      <c r="N309" s="31">
        <v>371055</v>
      </c>
      <c r="O309" s="34">
        <v>10798920</v>
      </c>
      <c r="P309" s="57">
        <v>222.7</v>
      </c>
      <c r="Q309" s="57" t="s">
        <v>34</v>
      </c>
      <c r="R309" s="58">
        <v>13.69</v>
      </c>
      <c r="S309" s="59">
        <v>3048.7629999999999</v>
      </c>
    </row>
    <row r="310" spans="1:19" s="4" customFormat="1" ht="15" hidden="1" customHeight="1" x14ac:dyDescent="0.2">
      <c r="A310" s="29">
        <v>353</v>
      </c>
      <c r="B310" s="56">
        <v>45379</v>
      </c>
      <c r="C310" s="55">
        <v>45352</v>
      </c>
      <c r="D310" s="34" t="s">
        <v>41</v>
      </c>
      <c r="E310" s="34" t="s">
        <v>52</v>
      </c>
      <c r="F310" s="34"/>
      <c r="G310" s="34" t="s">
        <v>29</v>
      </c>
      <c r="H310" s="31">
        <v>1000238</v>
      </c>
      <c r="I310" s="34" t="s">
        <v>42</v>
      </c>
      <c r="J310" s="34" t="s">
        <v>323</v>
      </c>
      <c r="K310" s="31" t="s">
        <v>263</v>
      </c>
      <c r="L310" s="34" t="s">
        <v>222</v>
      </c>
      <c r="M310" s="31" t="s">
        <v>145</v>
      </c>
      <c r="N310" s="31">
        <v>371055</v>
      </c>
      <c r="O310" s="34">
        <v>10798920</v>
      </c>
      <c r="P310" s="57">
        <v>1</v>
      </c>
      <c r="Q310" s="57" t="s">
        <v>26</v>
      </c>
      <c r="R310" s="58">
        <v>997</v>
      </c>
      <c r="S310" s="59">
        <v>997</v>
      </c>
    </row>
    <row r="311" spans="1:19" s="4" customFormat="1" ht="15" hidden="1" customHeight="1" x14ac:dyDescent="0.2">
      <c r="A311" s="29">
        <v>354</v>
      </c>
      <c r="B311" s="56">
        <v>45379</v>
      </c>
      <c r="C311" s="55">
        <v>45352</v>
      </c>
      <c r="D311" s="34" t="s">
        <v>27</v>
      </c>
      <c r="E311" s="34" t="s">
        <v>52</v>
      </c>
      <c r="F311" s="34"/>
      <c r="G311" s="34" t="s">
        <v>29</v>
      </c>
      <c r="H311" s="31">
        <v>1000287</v>
      </c>
      <c r="I311" s="34" t="s">
        <v>30</v>
      </c>
      <c r="J311" s="34" t="s">
        <v>324</v>
      </c>
      <c r="K311" s="31">
        <v>4071</v>
      </c>
      <c r="L311" s="34" t="s">
        <v>144</v>
      </c>
      <c r="M311" s="31">
        <v>7901</v>
      </c>
      <c r="N311" s="31">
        <v>371055</v>
      </c>
      <c r="O311" s="34">
        <v>10798920</v>
      </c>
      <c r="P311" s="57">
        <v>697</v>
      </c>
      <c r="Q311" s="57" t="s">
        <v>34</v>
      </c>
      <c r="R311" s="58">
        <v>13.69</v>
      </c>
      <c r="S311" s="59">
        <v>9541.93</v>
      </c>
    </row>
    <row r="312" spans="1:19" s="6" customFormat="1" ht="15" hidden="1" customHeight="1" x14ac:dyDescent="0.2">
      <c r="A312" s="60">
        <v>355</v>
      </c>
      <c r="B312" s="61">
        <v>45427</v>
      </c>
      <c r="C312" s="99">
        <v>45413</v>
      </c>
      <c r="D312" s="39" t="s">
        <v>41</v>
      </c>
      <c r="E312" s="39" t="s">
        <v>19</v>
      </c>
      <c r="F312" s="39"/>
      <c r="G312" s="39" t="s">
        <v>75</v>
      </c>
      <c r="H312" s="97">
        <v>1000238</v>
      </c>
      <c r="I312" s="39" t="s">
        <v>42</v>
      </c>
      <c r="J312" s="39" t="s">
        <v>325</v>
      </c>
      <c r="K312" s="97"/>
      <c r="L312" s="39" t="s">
        <v>222</v>
      </c>
      <c r="M312" s="97">
        <v>7901</v>
      </c>
      <c r="N312" s="97">
        <v>371075</v>
      </c>
      <c r="O312" s="39"/>
      <c r="P312" s="50">
        <v>1</v>
      </c>
      <c r="Q312" s="57" t="s">
        <v>26</v>
      </c>
      <c r="R312" s="63">
        <v>61.6</v>
      </c>
      <c r="S312" s="64">
        <f>Table4[[#This Row],[VALUE]]*Table4[[#This Row],[QTD]]</f>
        <v>61.6</v>
      </c>
    </row>
    <row r="313" spans="1:19" s="6" customFormat="1" ht="15" hidden="1" customHeight="1" x14ac:dyDescent="0.2">
      <c r="A313" s="60">
        <v>356</v>
      </c>
      <c r="B313" s="61">
        <v>45427</v>
      </c>
      <c r="C313" s="99">
        <v>45413</v>
      </c>
      <c r="D313" s="39" t="s">
        <v>27</v>
      </c>
      <c r="E313" s="39" t="s">
        <v>19</v>
      </c>
      <c r="F313" s="39"/>
      <c r="G313" s="39" t="s">
        <v>75</v>
      </c>
      <c r="H313" s="97">
        <v>1000287</v>
      </c>
      <c r="I313" s="39" t="s">
        <v>30</v>
      </c>
      <c r="J313" s="39" t="s">
        <v>326</v>
      </c>
      <c r="K313" s="97">
        <v>4016</v>
      </c>
      <c r="L313" s="39" t="s">
        <v>63</v>
      </c>
      <c r="M313" s="97"/>
      <c r="N313" s="97">
        <v>371075</v>
      </c>
      <c r="O313" s="39"/>
      <c r="P313" s="50">
        <v>110</v>
      </c>
      <c r="Q313" s="57" t="s">
        <v>34</v>
      </c>
      <c r="R313" s="65">
        <v>12.28</v>
      </c>
      <c r="S313" s="64">
        <f>Table4[[#This Row],[VALUE]]*Table4[[#This Row],[QTD]]</f>
        <v>1350.8</v>
      </c>
    </row>
    <row r="314" spans="1:19" s="6" customFormat="1" ht="15" hidden="1" customHeight="1" x14ac:dyDescent="0.2">
      <c r="A314" s="60">
        <v>357</v>
      </c>
      <c r="B314" s="61">
        <v>45427</v>
      </c>
      <c r="C314" s="99">
        <v>45413</v>
      </c>
      <c r="D314" s="39" t="s">
        <v>41</v>
      </c>
      <c r="E314" s="39" t="s">
        <v>19</v>
      </c>
      <c r="F314" s="39"/>
      <c r="G314" s="39" t="s">
        <v>75</v>
      </c>
      <c r="H314" s="97">
        <v>1000238</v>
      </c>
      <c r="I314" s="39" t="s">
        <v>42</v>
      </c>
      <c r="J314" s="39" t="s">
        <v>327</v>
      </c>
      <c r="K314" s="97"/>
      <c r="L314" s="39" t="s">
        <v>222</v>
      </c>
      <c r="M314" s="97">
        <v>7901</v>
      </c>
      <c r="N314" s="97">
        <v>371075</v>
      </c>
      <c r="O314" s="39"/>
      <c r="P314" s="50">
        <v>1</v>
      </c>
      <c r="Q314" s="57" t="s">
        <v>26</v>
      </c>
      <c r="R314" s="63">
        <v>307.04000000000002</v>
      </c>
      <c r="S314" s="64">
        <f>Table4[[#This Row],[VALUE]]*Table4[[#This Row],[QTD]]</f>
        <v>307.04000000000002</v>
      </c>
    </row>
    <row r="315" spans="1:19" s="6" customFormat="1" ht="15" hidden="1" customHeight="1" x14ac:dyDescent="0.2">
      <c r="A315" s="60">
        <v>358</v>
      </c>
      <c r="B315" s="61">
        <v>45427</v>
      </c>
      <c r="C315" s="99">
        <v>45413</v>
      </c>
      <c r="D315" s="39" t="s">
        <v>27</v>
      </c>
      <c r="E315" s="39" t="s">
        <v>19</v>
      </c>
      <c r="F315" s="39"/>
      <c r="G315" s="39" t="s">
        <v>75</v>
      </c>
      <c r="H315" s="97">
        <v>1000287</v>
      </c>
      <c r="I315" s="39" t="s">
        <v>30</v>
      </c>
      <c r="J315" s="39" t="s">
        <v>328</v>
      </c>
      <c r="K315" s="97">
        <v>4106</v>
      </c>
      <c r="L315" s="39" t="s">
        <v>282</v>
      </c>
      <c r="M315" s="97"/>
      <c r="N315" s="97">
        <v>371075</v>
      </c>
      <c r="O315" s="39"/>
      <c r="P315" s="50">
        <v>430</v>
      </c>
      <c r="Q315" s="57" t="s">
        <v>34</v>
      </c>
      <c r="R315" s="65">
        <v>12.28</v>
      </c>
      <c r="S315" s="64">
        <f>Table4[[#This Row],[VALUE]]*Table4[[#This Row],[QTD]]</f>
        <v>5280.4</v>
      </c>
    </row>
    <row r="316" spans="1:19" s="6" customFormat="1" ht="15" hidden="1" customHeight="1" x14ac:dyDescent="0.2">
      <c r="A316" s="60">
        <v>359</v>
      </c>
      <c r="B316" s="61">
        <v>45428</v>
      </c>
      <c r="C316" s="99">
        <v>45413</v>
      </c>
      <c r="D316" s="39" t="s">
        <v>41</v>
      </c>
      <c r="E316" s="39" t="s">
        <v>19</v>
      </c>
      <c r="F316" s="39"/>
      <c r="G316" s="39" t="s">
        <v>75</v>
      </c>
      <c r="H316" s="31">
        <v>1000238</v>
      </c>
      <c r="I316" s="39" t="s">
        <v>42</v>
      </c>
      <c r="J316" s="39" t="s">
        <v>329</v>
      </c>
      <c r="K316" s="97"/>
      <c r="L316" s="39" t="s">
        <v>222</v>
      </c>
      <c r="M316" s="97">
        <v>7901</v>
      </c>
      <c r="N316" s="97">
        <v>371075</v>
      </c>
      <c r="O316" s="39"/>
      <c r="P316" s="50">
        <v>1</v>
      </c>
      <c r="Q316" s="57" t="s">
        <v>26</v>
      </c>
      <c r="R316" s="63">
        <v>496.58</v>
      </c>
      <c r="S316" s="64">
        <f>Table4[[#This Row],[VALUE]]*Table4[[#This Row],[QTD]]</f>
        <v>496.58</v>
      </c>
    </row>
    <row r="317" spans="1:19" s="6" customFormat="1" ht="15" hidden="1" customHeight="1" x14ac:dyDescent="0.2">
      <c r="A317" s="60">
        <v>360</v>
      </c>
      <c r="B317" s="61">
        <v>45428</v>
      </c>
      <c r="C317" s="99">
        <v>45413</v>
      </c>
      <c r="D317" s="39" t="s">
        <v>27</v>
      </c>
      <c r="E317" s="39" t="s">
        <v>19</v>
      </c>
      <c r="F317" s="39"/>
      <c r="G317" s="39" t="s">
        <v>75</v>
      </c>
      <c r="H317" s="97">
        <v>1000287</v>
      </c>
      <c r="I317" s="39" t="s">
        <v>30</v>
      </c>
      <c r="J317" s="39" t="s">
        <v>330</v>
      </c>
      <c r="K317" s="97">
        <v>4023</v>
      </c>
      <c r="L317" s="39" t="s">
        <v>331</v>
      </c>
      <c r="M317" s="97"/>
      <c r="N317" s="97">
        <v>371075</v>
      </c>
      <c r="O317" s="39"/>
      <c r="P317" s="50">
        <v>495</v>
      </c>
      <c r="Q317" s="57" t="s">
        <v>34</v>
      </c>
      <c r="R317" s="65">
        <v>12.28</v>
      </c>
      <c r="S317" s="64">
        <f>Table4[[#This Row],[VALUE]]*Table4[[#This Row],[QTD]]</f>
        <v>6078.5999999999995</v>
      </c>
    </row>
    <row r="318" spans="1:19" s="6" customFormat="1" ht="15" hidden="1" customHeight="1" x14ac:dyDescent="0.2">
      <c r="A318" s="60">
        <v>361</v>
      </c>
      <c r="B318" s="61">
        <v>45428</v>
      </c>
      <c r="C318" s="99">
        <v>45413</v>
      </c>
      <c r="D318" s="39" t="s">
        <v>41</v>
      </c>
      <c r="E318" s="39" t="s">
        <v>19</v>
      </c>
      <c r="F318" s="39"/>
      <c r="G318" s="39" t="s">
        <v>75</v>
      </c>
      <c r="H318" s="31">
        <v>1000238</v>
      </c>
      <c r="I318" s="39" t="s">
        <v>42</v>
      </c>
      <c r="J318" s="39" t="s">
        <v>332</v>
      </c>
      <c r="K318" s="97"/>
      <c r="L318" s="39" t="s">
        <v>222</v>
      </c>
      <c r="M318" s="97">
        <v>7901</v>
      </c>
      <c r="N318" s="97">
        <v>371075</v>
      </c>
      <c r="O318" s="39"/>
      <c r="P318" s="50">
        <v>1</v>
      </c>
      <c r="Q318" s="57" t="s">
        <v>26</v>
      </c>
      <c r="R318" s="63">
        <v>114.85</v>
      </c>
      <c r="S318" s="64">
        <f>Table4[[#This Row],[VALUE]]*Table4[[#This Row],[QTD]]</f>
        <v>114.85</v>
      </c>
    </row>
    <row r="319" spans="1:19" s="6" customFormat="1" ht="15" hidden="1" customHeight="1" x14ac:dyDescent="0.2">
      <c r="A319" s="60">
        <v>362</v>
      </c>
      <c r="B319" s="61">
        <v>45428</v>
      </c>
      <c r="C319" s="99">
        <v>45413</v>
      </c>
      <c r="D319" s="39" t="s">
        <v>27</v>
      </c>
      <c r="E319" s="39" t="s">
        <v>19</v>
      </c>
      <c r="F319" s="39"/>
      <c r="G319" s="39" t="s">
        <v>75</v>
      </c>
      <c r="H319" s="97">
        <v>1000287</v>
      </c>
      <c r="I319" s="39" t="s">
        <v>30</v>
      </c>
      <c r="J319" s="39" t="s">
        <v>333</v>
      </c>
      <c r="K319" s="97">
        <v>4032</v>
      </c>
      <c r="L319" s="39" t="s">
        <v>334</v>
      </c>
      <c r="M319" s="97"/>
      <c r="N319" s="97">
        <v>371075</v>
      </c>
      <c r="O319" s="39"/>
      <c r="P319" s="50">
        <v>285</v>
      </c>
      <c r="Q319" s="57" t="s">
        <v>34</v>
      </c>
      <c r="R319" s="65">
        <v>12.28</v>
      </c>
      <c r="S319" s="64">
        <f>Table4[[#This Row],[VALUE]]*Table4[[#This Row],[QTD]]</f>
        <v>3499.7999999999997</v>
      </c>
    </row>
    <row r="320" spans="1:19" s="6" customFormat="1" ht="15" hidden="1" customHeight="1" x14ac:dyDescent="0.2">
      <c r="A320" s="60">
        <v>363</v>
      </c>
      <c r="B320" s="61">
        <v>45429</v>
      </c>
      <c r="C320" s="99">
        <v>45413</v>
      </c>
      <c r="D320" s="39" t="s">
        <v>41</v>
      </c>
      <c r="E320" s="39" t="s">
        <v>19</v>
      </c>
      <c r="F320" s="39"/>
      <c r="G320" s="39" t="s">
        <v>75</v>
      </c>
      <c r="H320" s="31">
        <v>1000238</v>
      </c>
      <c r="I320" s="39" t="s">
        <v>42</v>
      </c>
      <c r="J320" s="39" t="s">
        <v>332</v>
      </c>
      <c r="K320" s="97"/>
      <c r="L320" s="39" t="s">
        <v>222</v>
      </c>
      <c r="M320" s="97">
        <v>7901</v>
      </c>
      <c r="N320" s="97">
        <v>371075</v>
      </c>
      <c r="O320" s="39"/>
      <c r="P320" s="50">
        <v>1</v>
      </c>
      <c r="Q320" s="57" t="s">
        <v>26</v>
      </c>
      <c r="R320" s="63">
        <v>166.91</v>
      </c>
      <c r="S320" s="64">
        <f>Table4[[#This Row],[VALUE]]*Table4[[#This Row],[QTD]]</f>
        <v>166.91</v>
      </c>
    </row>
    <row r="321" spans="1:19" s="6" customFormat="1" ht="15" hidden="1" customHeight="1" x14ac:dyDescent="0.2">
      <c r="A321" s="60">
        <v>364</v>
      </c>
      <c r="B321" s="61">
        <v>45429</v>
      </c>
      <c r="C321" s="99">
        <v>45413</v>
      </c>
      <c r="D321" s="39" t="s">
        <v>27</v>
      </c>
      <c r="E321" s="39" t="s">
        <v>19</v>
      </c>
      <c r="F321" s="39"/>
      <c r="G321" s="39" t="s">
        <v>75</v>
      </c>
      <c r="H321" s="97">
        <v>1000287</v>
      </c>
      <c r="I321" s="39" t="s">
        <v>30</v>
      </c>
      <c r="J321" s="39" t="s">
        <v>333</v>
      </c>
      <c r="K321" s="97">
        <v>4032</v>
      </c>
      <c r="L321" s="39" t="s">
        <v>334</v>
      </c>
      <c r="M321" s="97"/>
      <c r="N321" s="97">
        <v>371075</v>
      </c>
      <c r="O321" s="39"/>
      <c r="P321" s="50">
        <v>283</v>
      </c>
      <c r="Q321" s="57" t="s">
        <v>34</v>
      </c>
      <c r="R321" s="65">
        <v>12.28</v>
      </c>
      <c r="S321" s="64">
        <f>Table4[[#This Row],[VALUE]]*Table4[[#This Row],[QTD]]</f>
        <v>3475.24</v>
      </c>
    </row>
    <row r="322" spans="1:19" s="6" customFormat="1" ht="15" hidden="1" customHeight="1" x14ac:dyDescent="0.2">
      <c r="A322" s="60">
        <v>365</v>
      </c>
      <c r="B322" s="61">
        <v>45413</v>
      </c>
      <c r="C322" s="99">
        <v>45413</v>
      </c>
      <c r="D322" s="39" t="s">
        <v>41</v>
      </c>
      <c r="E322" s="39" t="s">
        <v>383</v>
      </c>
      <c r="F322" s="39"/>
      <c r="G322" s="39" t="s">
        <v>75</v>
      </c>
      <c r="H322" s="31">
        <v>1000238</v>
      </c>
      <c r="I322" s="39" t="s">
        <v>42</v>
      </c>
      <c r="J322" s="39" t="s">
        <v>335</v>
      </c>
      <c r="K322" s="97"/>
      <c r="L322" s="39" t="s">
        <v>222</v>
      </c>
      <c r="M322" s="97">
        <v>7901</v>
      </c>
      <c r="N322" s="97">
        <v>371065</v>
      </c>
      <c r="O322" s="39"/>
      <c r="P322" s="50">
        <v>1</v>
      </c>
      <c r="Q322" s="57" t="s">
        <v>26</v>
      </c>
      <c r="R322" s="63">
        <v>358.59</v>
      </c>
      <c r="S322" s="64">
        <f>Table4[[#This Row],[VALUE]]*Table4[[#This Row],[QTD]]</f>
        <v>358.59</v>
      </c>
    </row>
    <row r="323" spans="1:19" s="6" customFormat="1" ht="15" hidden="1" customHeight="1" x14ac:dyDescent="0.2">
      <c r="A323" s="60">
        <v>366</v>
      </c>
      <c r="B323" s="61">
        <v>45413</v>
      </c>
      <c r="C323" s="99">
        <v>45413</v>
      </c>
      <c r="D323" s="39" t="s">
        <v>27</v>
      </c>
      <c r="E323" s="39" t="s">
        <v>383</v>
      </c>
      <c r="F323" s="39"/>
      <c r="G323" s="39" t="s">
        <v>75</v>
      </c>
      <c r="H323" s="97">
        <v>1000287</v>
      </c>
      <c r="I323" s="39" t="s">
        <v>30</v>
      </c>
      <c r="J323" s="39" t="s">
        <v>336</v>
      </c>
      <c r="K323" s="97">
        <v>4048</v>
      </c>
      <c r="L323" s="39" t="s">
        <v>77</v>
      </c>
      <c r="M323" s="97"/>
      <c r="N323" s="97">
        <v>371065</v>
      </c>
      <c r="O323" s="39"/>
      <c r="P323" s="50">
        <v>374</v>
      </c>
      <c r="Q323" s="57" t="s">
        <v>34</v>
      </c>
      <c r="R323" s="65">
        <v>12.28</v>
      </c>
      <c r="S323" s="64">
        <f>Table4[[#This Row],[VALUE]]*Table4[[#This Row],[QTD]]</f>
        <v>4592.7199999999993</v>
      </c>
    </row>
    <row r="324" spans="1:19" s="6" customFormat="1" ht="15" hidden="1" customHeight="1" x14ac:dyDescent="0.2">
      <c r="A324" s="60">
        <v>367</v>
      </c>
      <c r="B324" s="61">
        <v>45413</v>
      </c>
      <c r="C324" s="99">
        <v>45413</v>
      </c>
      <c r="D324" s="39" t="s">
        <v>41</v>
      </c>
      <c r="E324" s="39" t="s">
        <v>383</v>
      </c>
      <c r="F324" s="39"/>
      <c r="G324" s="39" t="s">
        <v>75</v>
      </c>
      <c r="H324" s="31">
        <v>1000238</v>
      </c>
      <c r="I324" s="39" t="s">
        <v>42</v>
      </c>
      <c r="J324" s="39" t="s">
        <v>335</v>
      </c>
      <c r="K324" s="97"/>
      <c r="L324" s="39" t="s">
        <v>222</v>
      </c>
      <c r="M324" s="97">
        <v>7901</v>
      </c>
      <c r="N324" s="97">
        <v>371065</v>
      </c>
      <c r="O324" s="39"/>
      <c r="P324" s="50">
        <v>1</v>
      </c>
      <c r="Q324" s="57" t="s">
        <v>26</v>
      </c>
      <c r="R324" s="63">
        <v>358.59</v>
      </c>
      <c r="S324" s="64">
        <f>Table4[[#This Row],[VALUE]]*Table4[[#This Row],[QTD]]</f>
        <v>358.59</v>
      </c>
    </row>
    <row r="325" spans="1:19" s="6" customFormat="1" ht="15" hidden="1" customHeight="1" x14ac:dyDescent="0.2">
      <c r="A325" s="60">
        <v>368</v>
      </c>
      <c r="B325" s="61">
        <v>45413</v>
      </c>
      <c r="C325" s="99">
        <v>45413</v>
      </c>
      <c r="D325" s="39" t="s">
        <v>27</v>
      </c>
      <c r="E325" s="39" t="s">
        <v>383</v>
      </c>
      <c r="F325" s="39"/>
      <c r="G325" s="39" t="s">
        <v>75</v>
      </c>
      <c r="H325" s="97">
        <v>1000287</v>
      </c>
      <c r="I325" s="39" t="s">
        <v>30</v>
      </c>
      <c r="J325" s="39" t="s">
        <v>336</v>
      </c>
      <c r="K325" s="97">
        <v>4048</v>
      </c>
      <c r="L325" s="39" t="s">
        <v>77</v>
      </c>
      <c r="M325" s="97"/>
      <c r="N325" s="97">
        <v>371065</v>
      </c>
      <c r="O325" s="39"/>
      <c r="P325" s="50">
        <v>357</v>
      </c>
      <c r="Q325" s="57" t="s">
        <v>34</v>
      </c>
      <c r="R325" s="65">
        <v>12.28</v>
      </c>
      <c r="S325" s="64">
        <f>Table4[[#This Row],[VALUE]]*Table4[[#This Row],[QTD]]</f>
        <v>4383.96</v>
      </c>
    </row>
    <row r="326" spans="1:19" s="6" customFormat="1" ht="15" hidden="1" customHeight="1" x14ac:dyDescent="0.2">
      <c r="A326" s="60">
        <v>369</v>
      </c>
      <c r="B326" s="61">
        <v>45421</v>
      </c>
      <c r="C326" s="99">
        <v>45413</v>
      </c>
      <c r="D326" s="39" t="s">
        <v>41</v>
      </c>
      <c r="E326" s="39" t="s">
        <v>260</v>
      </c>
      <c r="F326" s="39"/>
      <c r="G326" s="39" t="s">
        <v>75</v>
      </c>
      <c r="H326" s="31">
        <v>1000238</v>
      </c>
      <c r="I326" s="39" t="s">
        <v>42</v>
      </c>
      <c r="J326" s="39" t="s">
        <v>337</v>
      </c>
      <c r="K326" s="97"/>
      <c r="L326" s="39" t="s">
        <v>222</v>
      </c>
      <c r="M326" s="97">
        <v>7901</v>
      </c>
      <c r="N326" s="97">
        <v>371065</v>
      </c>
      <c r="O326" s="39"/>
      <c r="P326" s="50">
        <v>1</v>
      </c>
      <c r="Q326" s="57" t="s">
        <v>26</v>
      </c>
      <c r="R326" s="63">
        <v>572.67999999999995</v>
      </c>
      <c r="S326" s="64">
        <f>Table4[[#This Row],[VALUE]]*Table4[[#This Row],[QTD]]</f>
        <v>572.67999999999995</v>
      </c>
    </row>
    <row r="327" spans="1:19" s="6" customFormat="1" ht="15" hidden="1" customHeight="1" x14ac:dyDescent="0.2">
      <c r="A327" s="60">
        <v>370</v>
      </c>
      <c r="B327" s="61">
        <v>45421</v>
      </c>
      <c r="C327" s="99">
        <v>45413</v>
      </c>
      <c r="D327" s="39" t="s">
        <v>27</v>
      </c>
      <c r="E327" s="39" t="s">
        <v>260</v>
      </c>
      <c r="F327" s="39"/>
      <c r="G327" s="39" t="s">
        <v>75</v>
      </c>
      <c r="H327" s="97">
        <v>1000287</v>
      </c>
      <c r="I327" s="39" t="s">
        <v>30</v>
      </c>
      <c r="J327" s="39" t="s">
        <v>338</v>
      </c>
      <c r="K327" s="97">
        <v>4035</v>
      </c>
      <c r="L327" s="39" t="s">
        <v>339</v>
      </c>
      <c r="M327" s="97"/>
      <c r="N327" s="97">
        <v>371065</v>
      </c>
      <c r="O327" s="39"/>
      <c r="P327" s="50">
        <v>537</v>
      </c>
      <c r="Q327" s="57" t="s">
        <v>34</v>
      </c>
      <c r="R327" s="65">
        <v>12.28</v>
      </c>
      <c r="S327" s="64">
        <f>Table4[[#This Row],[VALUE]]*Table4[[#This Row],[QTD]]</f>
        <v>6594.36</v>
      </c>
    </row>
    <row r="328" spans="1:19" s="6" customFormat="1" ht="15" hidden="1" customHeight="1" x14ac:dyDescent="0.2">
      <c r="A328" s="60">
        <v>371</v>
      </c>
      <c r="B328" s="61">
        <v>45433</v>
      </c>
      <c r="C328" s="99">
        <v>45352</v>
      </c>
      <c r="D328" s="39" t="s">
        <v>41</v>
      </c>
      <c r="E328" s="39" t="s">
        <v>19</v>
      </c>
      <c r="F328" s="39"/>
      <c r="G328" s="39" t="s">
        <v>75</v>
      </c>
      <c r="H328" s="97">
        <v>1000238</v>
      </c>
      <c r="I328" s="39" t="s">
        <v>42</v>
      </c>
      <c r="J328" s="39" t="s">
        <v>340</v>
      </c>
      <c r="K328" s="97"/>
      <c r="L328" s="39" t="s">
        <v>222</v>
      </c>
      <c r="M328" s="97">
        <v>7901</v>
      </c>
      <c r="N328" s="97">
        <v>371075</v>
      </c>
      <c r="O328" s="39" t="s">
        <v>263</v>
      </c>
      <c r="P328" s="50">
        <v>1</v>
      </c>
      <c r="Q328" s="57" t="s">
        <v>26</v>
      </c>
      <c r="R328" s="63">
        <v>188.9</v>
      </c>
      <c r="S328" s="64">
        <f>Table4[[#This Row],[VALUE]]*Table4[[#This Row],[QTD]]</f>
        <v>188.9</v>
      </c>
    </row>
    <row r="329" spans="1:19" s="6" customFormat="1" ht="15" hidden="1" customHeight="1" x14ac:dyDescent="0.2">
      <c r="A329" s="60">
        <v>372</v>
      </c>
      <c r="B329" s="61">
        <v>45433</v>
      </c>
      <c r="C329" s="99">
        <v>45352</v>
      </c>
      <c r="D329" s="39" t="s">
        <v>27</v>
      </c>
      <c r="E329" s="39" t="s">
        <v>19</v>
      </c>
      <c r="F329" s="39"/>
      <c r="G329" s="39" t="s">
        <v>75</v>
      </c>
      <c r="H329" s="97">
        <v>1000287</v>
      </c>
      <c r="I329" s="39" t="s">
        <v>30</v>
      </c>
      <c r="J329" s="39" t="s">
        <v>354</v>
      </c>
      <c r="K329" s="97">
        <v>4068</v>
      </c>
      <c r="L329" s="39" t="s">
        <v>249</v>
      </c>
      <c r="M329" s="97"/>
      <c r="N329" s="97">
        <v>371075</v>
      </c>
      <c r="O329" s="39" t="s">
        <v>263</v>
      </c>
      <c r="P329" s="50">
        <v>334</v>
      </c>
      <c r="Q329" s="57" t="s">
        <v>34</v>
      </c>
      <c r="R329" s="65">
        <v>12.28</v>
      </c>
      <c r="S329" s="64">
        <f>Table4[[#This Row],[VALUE]]*Table4[[#This Row],[QTD]]</f>
        <v>4101.5199999999995</v>
      </c>
    </row>
    <row r="330" spans="1:19" s="6" customFormat="1" ht="15" hidden="1" customHeight="1" x14ac:dyDescent="0.2">
      <c r="A330" s="60">
        <v>377</v>
      </c>
      <c r="B330" s="61">
        <v>45413</v>
      </c>
      <c r="C330" s="99">
        <v>45413</v>
      </c>
      <c r="D330" s="39" t="s">
        <v>41</v>
      </c>
      <c r="E330" s="34" t="s">
        <v>383</v>
      </c>
      <c r="F330" s="34"/>
      <c r="G330" s="39" t="s">
        <v>29</v>
      </c>
      <c r="H330" s="31">
        <v>1000238</v>
      </c>
      <c r="I330" s="39" t="s">
        <v>42</v>
      </c>
      <c r="J330" s="39" t="s">
        <v>343</v>
      </c>
      <c r="K330" s="97"/>
      <c r="L330" s="39" t="s">
        <v>222</v>
      </c>
      <c r="M330" s="97">
        <v>7901</v>
      </c>
      <c r="N330" s="97">
        <v>371065</v>
      </c>
      <c r="O330" s="39"/>
      <c r="P330" s="173">
        <v>1</v>
      </c>
      <c r="Q330" s="50" t="s">
        <v>26</v>
      </c>
      <c r="R330" s="66">
        <v>492</v>
      </c>
      <c r="S330" s="64">
        <f>Table4[[#This Row],[VALUE]]*Table4[[#This Row],[QTD]]</f>
        <v>492</v>
      </c>
    </row>
    <row r="331" spans="1:19" s="6" customFormat="1" ht="15" hidden="1" customHeight="1" x14ac:dyDescent="0.2">
      <c r="A331" s="60">
        <v>378</v>
      </c>
      <c r="B331" s="61">
        <v>45413</v>
      </c>
      <c r="C331" s="99">
        <v>45413</v>
      </c>
      <c r="D331" s="39" t="s">
        <v>27</v>
      </c>
      <c r="E331" s="34" t="s">
        <v>383</v>
      </c>
      <c r="F331" s="34"/>
      <c r="G331" s="39" t="s">
        <v>29</v>
      </c>
      <c r="H331" s="97">
        <v>1000287</v>
      </c>
      <c r="I331" s="39" t="s">
        <v>30</v>
      </c>
      <c r="J331" s="39" t="s">
        <v>344</v>
      </c>
      <c r="K331" s="97"/>
      <c r="L331" s="39" t="s">
        <v>222</v>
      </c>
      <c r="M331" s="97">
        <v>7901</v>
      </c>
      <c r="N331" s="97">
        <v>371065</v>
      </c>
      <c r="O331" s="39"/>
      <c r="P331" s="173">
        <v>405.4</v>
      </c>
      <c r="Q331" s="50" t="s">
        <v>34</v>
      </c>
      <c r="R331" s="66">
        <v>13.69</v>
      </c>
      <c r="S331" s="64">
        <f>Table4[[#This Row],[VALUE]]*Table4[[#This Row],[QTD]]</f>
        <v>5549.9259999999995</v>
      </c>
    </row>
    <row r="332" spans="1:19" s="4" customFormat="1" ht="15" hidden="1" customHeight="1" x14ac:dyDescent="0.2">
      <c r="A332" s="60">
        <v>379</v>
      </c>
      <c r="B332" s="61">
        <v>45427</v>
      </c>
      <c r="C332" s="99">
        <v>45352</v>
      </c>
      <c r="D332" s="39" t="s">
        <v>41</v>
      </c>
      <c r="E332" s="39" t="s">
        <v>19</v>
      </c>
      <c r="F332" s="39"/>
      <c r="G332" s="39" t="s">
        <v>75</v>
      </c>
      <c r="H332" s="31">
        <v>1000238</v>
      </c>
      <c r="I332" s="39" t="s">
        <v>42</v>
      </c>
      <c r="J332" s="39" t="s">
        <v>347</v>
      </c>
      <c r="K332" s="31">
        <v>4016</v>
      </c>
      <c r="L332" s="34" t="s">
        <v>63</v>
      </c>
      <c r="M332" s="97"/>
      <c r="N332" s="97">
        <v>371075</v>
      </c>
      <c r="O332" s="39"/>
      <c r="P332" s="50">
        <v>1</v>
      </c>
      <c r="Q332" s="57" t="s">
        <v>26</v>
      </c>
      <c r="R332" s="63">
        <v>61.6</v>
      </c>
      <c r="S332" s="64">
        <f>Table4[[#This Row],[VALUE]]*Table4[[#This Row],[QTD]]</f>
        <v>61.6</v>
      </c>
    </row>
    <row r="333" spans="1:19" s="4" customFormat="1" ht="15" hidden="1" customHeight="1" x14ac:dyDescent="0.2">
      <c r="A333" s="60">
        <v>380</v>
      </c>
      <c r="B333" s="61">
        <v>45427</v>
      </c>
      <c r="C333" s="99">
        <v>45352</v>
      </c>
      <c r="D333" s="39" t="s">
        <v>27</v>
      </c>
      <c r="E333" s="39" t="s">
        <v>19</v>
      </c>
      <c r="F333" s="39"/>
      <c r="G333" s="39" t="s">
        <v>75</v>
      </c>
      <c r="H333" s="97">
        <v>1000287</v>
      </c>
      <c r="I333" s="39" t="s">
        <v>30</v>
      </c>
      <c r="J333" s="39" t="s">
        <v>348</v>
      </c>
      <c r="K333" s="97"/>
      <c r="L333" s="39" t="s">
        <v>222</v>
      </c>
      <c r="M333" s="97">
        <v>7901</v>
      </c>
      <c r="N333" s="97">
        <v>371075</v>
      </c>
      <c r="O333" s="39"/>
      <c r="P333" s="50">
        <v>110</v>
      </c>
      <c r="Q333" s="57" t="s">
        <v>34</v>
      </c>
      <c r="R333" s="65">
        <v>12.28</v>
      </c>
      <c r="S333" s="64">
        <f>Table4[[#This Row],[VALUE]]*Table4[[#This Row],[QTD]]</f>
        <v>1350.8</v>
      </c>
    </row>
    <row r="334" spans="1:19" s="4" customFormat="1" ht="15" hidden="1" customHeight="1" x14ac:dyDescent="0.2">
      <c r="A334" s="60">
        <v>381</v>
      </c>
      <c r="B334" s="61">
        <v>45427</v>
      </c>
      <c r="C334" s="99">
        <v>45352</v>
      </c>
      <c r="D334" s="39" t="s">
        <v>41</v>
      </c>
      <c r="E334" s="39" t="s">
        <v>19</v>
      </c>
      <c r="F334" s="39"/>
      <c r="G334" s="39" t="s">
        <v>75</v>
      </c>
      <c r="H334" s="31">
        <v>1000238</v>
      </c>
      <c r="I334" s="39" t="s">
        <v>42</v>
      </c>
      <c r="J334" s="39" t="s">
        <v>349</v>
      </c>
      <c r="K334" s="31">
        <v>4106</v>
      </c>
      <c r="L334" s="34" t="s">
        <v>282</v>
      </c>
      <c r="M334" s="97"/>
      <c r="N334" s="97">
        <v>371075</v>
      </c>
      <c r="O334" s="39"/>
      <c r="P334" s="50">
        <v>1</v>
      </c>
      <c r="Q334" s="57" t="s">
        <v>26</v>
      </c>
      <c r="R334" s="63">
        <v>307.04000000000002</v>
      </c>
      <c r="S334" s="64">
        <f>Table4[[#This Row],[VALUE]]*Table4[[#This Row],[QTD]]</f>
        <v>307.04000000000002</v>
      </c>
    </row>
    <row r="335" spans="1:19" s="4" customFormat="1" ht="15" hidden="1" customHeight="1" x14ac:dyDescent="0.2">
      <c r="A335" s="60">
        <v>382</v>
      </c>
      <c r="B335" s="61">
        <v>45427</v>
      </c>
      <c r="C335" s="99">
        <v>45352</v>
      </c>
      <c r="D335" s="39" t="s">
        <v>27</v>
      </c>
      <c r="E335" s="39" t="s">
        <v>19</v>
      </c>
      <c r="F335" s="39"/>
      <c r="G335" s="39" t="s">
        <v>75</v>
      </c>
      <c r="H335" s="97">
        <v>1000287</v>
      </c>
      <c r="I335" s="39" t="s">
        <v>30</v>
      </c>
      <c r="J335" s="39" t="s">
        <v>350</v>
      </c>
      <c r="K335" s="97"/>
      <c r="L335" s="39" t="s">
        <v>222</v>
      </c>
      <c r="M335" s="97">
        <v>7901</v>
      </c>
      <c r="N335" s="97">
        <v>371075</v>
      </c>
      <c r="O335" s="39"/>
      <c r="P335" s="50">
        <v>430</v>
      </c>
      <c r="Q335" s="57" t="s">
        <v>34</v>
      </c>
      <c r="R335" s="65">
        <v>12.28</v>
      </c>
      <c r="S335" s="64">
        <f>Table4[[#This Row],[VALUE]]*Table4[[#This Row],[QTD]]</f>
        <v>5280.4</v>
      </c>
    </row>
    <row r="336" spans="1:19" s="4" customFormat="1" ht="15" hidden="1" customHeight="1" x14ac:dyDescent="0.2">
      <c r="A336" s="60">
        <v>383</v>
      </c>
      <c r="B336" s="61">
        <v>45428</v>
      </c>
      <c r="C336" s="99">
        <v>45352</v>
      </c>
      <c r="D336" s="39" t="s">
        <v>41</v>
      </c>
      <c r="E336" s="39" t="s">
        <v>19</v>
      </c>
      <c r="F336" s="39"/>
      <c r="G336" s="39" t="s">
        <v>75</v>
      </c>
      <c r="H336" s="31">
        <v>1000238</v>
      </c>
      <c r="I336" s="39" t="s">
        <v>42</v>
      </c>
      <c r="J336" s="39" t="s">
        <v>351</v>
      </c>
      <c r="K336" s="97">
        <v>4023</v>
      </c>
      <c r="L336" s="39" t="s">
        <v>331</v>
      </c>
      <c r="M336" s="97"/>
      <c r="N336" s="97">
        <v>371075</v>
      </c>
      <c r="O336" s="39"/>
      <c r="P336" s="50">
        <v>1</v>
      </c>
      <c r="Q336" s="57" t="s">
        <v>26</v>
      </c>
      <c r="R336" s="63">
        <v>496.58</v>
      </c>
      <c r="S336" s="64">
        <f>Table4[[#This Row],[VALUE]]*Table4[[#This Row],[QTD]]</f>
        <v>496.58</v>
      </c>
    </row>
    <row r="337" spans="1:19" s="4" customFormat="1" ht="15" hidden="1" customHeight="1" x14ac:dyDescent="0.2">
      <c r="A337" s="29">
        <v>384</v>
      </c>
      <c r="B337" s="56">
        <v>45428</v>
      </c>
      <c r="C337" s="55">
        <v>45352</v>
      </c>
      <c r="D337" s="34" t="s">
        <v>27</v>
      </c>
      <c r="E337" s="34" t="s">
        <v>19</v>
      </c>
      <c r="F337" s="34"/>
      <c r="G337" s="34" t="s">
        <v>75</v>
      </c>
      <c r="H337" s="97">
        <v>1000287</v>
      </c>
      <c r="I337" s="39" t="s">
        <v>30</v>
      </c>
      <c r="J337" s="34" t="s">
        <v>352</v>
      </c>
      <c r="K337" s="31"/>
      <c r="L337" s="34" t="s">
        <v>222</v>
      </c>
      <c r="M337" s="97">
        <v>7901</v>
      </c>
      <c r="N337" s="31">
        <v>371075</v>
      </c>
      <c r="O337" s="34"/>
      <c r="P337" s="57">
        <v>495</v>
      </c>
      <c r="Q337" s="57" t="s">
        <v>34</v>
      </c>
      <c r="R337" s="65">
        <v>12.28</v>
      </c>
      <c r="S337" s="64">
        <f>Table4[[#This Row],[VALUE]]*Table4[[#This Row],[QTD]]</f>
        <v>6078.5999999999995</v>
      </c>
    </row>
    <row r="338" spans="1:19" s="4" customFormat="1" ht="15" hidden="1" customHeight="1" x14ac:dyDescent="0.2">
      <c r="A338" s="29">
        <v>385</v>
      </c>
      <c r="B338" s="56">
        <v>45428</v>
      </c>
      <c r="C338" s="55">
        <v>45352</v>
      </c>
      <c r="D338" s="34" t="s">
        <v>41</v>
      </c>
      <c r="E338" s="34" t="s">
        <v>19</v>
      </c>
      <c r="F338" s="34"/>
      <c r="G338" s="34" t="s">
        <v>75</v>
      </c>
      <c r="H338" s="31">
        <v>1000238</v>
      </c>
      <c r="I338" s="39" t="s">
        <v>42</v>
      </c>
      <c r="J338" s="34" t="s">
        <v>351</v>
      </c>
      <c r="K338" s="31">
        <v>4023</v>
      </c>
      <c r="L338" s="34" t="s">
        <v>331</v>
      </c>
      <c r="M338" s="31"/>
      <c r="N338" s="31">
        <v>371075</v>
      </c>
      <c r="O338" s="34"/>
      <c r="P338" s="57">
        <v>1</v>
      </c>
      <c r="Q338" s="57" t="s">
        <v>26</v>
      </c>
      <c r="R338" s="63">
        <v>114.85</v>
      </c>
      <c r="S338" s="64">
        <f>Table4[[#This Row],[VALUE]]*Table4[[#This Row],[QTD]]</f>
        <v>114.85</v>
      </c>
    </row>
    <row r="339" spans="1:19" s="4" customFormat="1" ht="15" hidden="1" customHeight="1" x14ac:dyDescent="0.2">
      <c r="A339" s="29">
        <v>386</v>
      </c>
      <c r="B339" s="56">
        <v>45428</v>
      </c>
      <c r="C339" s="55">
        <v>45352</v>
      </c>
      <c r="D339" s="34" t="s">
        <v>27</v>
      </c>
      <c r="E339" s="34" t="s">
        <v>19</v>
      </c>
      <c r="F339" s="34"/>
      <c r="G339" s="34" t="s">
        <v>75</v>
      </c>
      <c r="H339" s="97">
        <v>1000287</v>
      </c>
      <c r="I339" s="39" t="s">
        <v>30</v>
      </c>
      <c r="J339" s="34" t="s">
        <v>352</v>
      </c>
      <c r="K339" s="31"/>
      <c r="L339" s="34" t="s">
        <v>222</v>
      </c>
      <c r="M339" s="97">
        <v>7901</v>
      </c>
      <c r="N339" s="31">
        <v>371075</v>
      </c>
      <c r="O339" s="34"/>
      <c r="P339" s="57">
        <v>285</v>
      </c>
      <c r="Q339" s="57" t="s">
        <v>34</v>
      </c>
      <c r="R339" s="65">
        <v>12.28</v>
      </c>
      <c r="S339" s="64">
        <f>Table4[[#This Row],[VALUE]]*Table4[[#This Row],[QTD]]</f>
        <v>3499.7999999999997</v>
      </c>
    </row>
    <row r="340" spans="1:19" s="4" customFormat="1" ht="15" hidden="1" customHeight="1" x14ac:dyDescent="0.2">
      <c r="A340" s="29">
        <v>387</v>
      </c>
      <c r="B340" s="56">
        <v>45428</v>
      </c>
      <c r="C340" s="55">
        <v>45352</v>
      </c>
      <c r="D340" s="34" t="s">
        <v>41</v>
      </c>
      <c r="E340" s="34" t="s">
        <v>19</v>
      </c>
      <c r="F340" s="34"/>
      <c r="G340" s="34" t="s">
        <v>75</v>
      </c>
      <c r="H340" s="31">
        <v>1000238</v>
      </c>
      <c r="I340" s="39" t="s">
        <v>42</v>
      </c>
      <c r="J340" s="34" t="s">
        <v>351</v>
      </c>
      <c r="K340" s="31">
        <v>4023</v>
      </c>
      <c r="L340" s="34" t="s">
        <v>331</v>
      </c>
      <c r="M340" s="31"/>
      <c r="N340" s="31">
        <v>371075</v>
      </c>
      <c r="O340" s="34"/>
      <c r="P340" s="57">
        <v>1</v>
      </c>
      <c r="Q340" s="57" t="s">
        <v>26</v>
      </c>
      <c r="R340" s="63">
        <v>166.91</v>
      </c>
      <c r="S340" s="64">
        <f>Table4[[#This Row],[VALUE]]*Table4[[#This Row],[QTD]]</f>
        <v>166.91</v>
      </c>
    </row>
    <row r="341" spans="1:19" s="4" customFormat="1" ht="15" hidden="1" customHeight="1" x14ac:dyDescent="0.2">
      <c r="A341" s="29">
        <v>388</v>
      </c>
      <c r="B341" s="56">
        <v>45428</v>
      </c>
      <c r="C341" s="55">
        <v>45352</v>
      </c>
      <c r="D341" s="34" t="s">
        <v>27</v>
      </c>
      <c r="E341" s="34" t="s">
        <v>19</v>
      </c>
      <c r="F341" s="34"/>
      <c r="G341" s="34" t="s">
        <v>75</v>
      </c>
      <c r="H341" s="97">
        <v>1000287</v>
      </c>
      <c r="I341" s="39" t="s">
        <v>30</v>
      </c>
      <c r="J341" s="34" t="s">
        <v>352</v>
      </c>
      <c r="K341" s="31"/>
      <c r="L341" s="34" t="s">
        <v>222</v>
      </c>
      <c r="M341" s="97">
        <v>7901</v>
      </c>
      <c r="N341" s="31">
        <v>371075</v>
      </c>
      <c r="O341" s="34"/>
      <c r="P341" s="57">
        <v>283</v>
      </c>
      <c r="Q341" s="57" t="s">
        <v>34</v>
      </c>
      <c r="R341" s="65">
        <v>12.28</v>
      </c>
      <c r="S341" s="64">
        <f>Table4[[#This Row],[VALUE]]*Table4[[#This Row],[QTD]]</f>
        <v>3475.24</v>
      </c>
    </row>
    <row r="342" spans="1:19" s="4" customFormat="1" ht="15" hidden="1" customHeight="1" x14ac:dyDescent="0.2">
      <c r="A342" s="29">
        <v>389</v>
      </c>
      <c r="B342" s="56">
        <v>45446</v>
      </c>
      <c r="C342" s="55">
        <v>45444</v>
      </c>
      <c r="D342" s="39" t="s">
        <v>41</v>
      </c>
      <c r="E342" s="34" t="s">
        <v>52</v>
      </c>
      <c r="F342" s="34"/>
      <c r="G342" s="39" t="s">
        <v>29</v>
      </c>
      <c r="H342" s="31">
        <v>1000238</v>
      </c>
      <c r="I342" s="39" t="s">
        <v>42</v>
      </c>
      <c r="J342" s="34" t="s">
        <v>357</v>
      </c>
      <c r="K342" s="31"/>
      <c r="L342" s="34" t="s">
        <v>222</v>
      </c>
      <c r="M342" s="97">
        <v>7901</v>
      </c>
      <c r="N342" s="31">
        <v>371055</v>
      </c>
      <c r="O342" s="34"/>
      <c r="P342" s="57">
        <v>1</v>
      </c>
      <c r="Q342" s="57" t="s">
        <v>26</v>
      </c>
      <c r="R342" s="64">
        <v>2259.4</v>
      </c>
      <c r="S342" s="64">
        <f>Table4[[#This Row],[VALUE]]*Table4[[#This Row],[QTD]]</f>
        <v>2259.4</v>
      </c>
    </row>
    <row r="343" spans="1:19" s="4" customFormat="1" ht="15" hidden="1" customHeight="1" x14ac:dyDescent="0.2">
      <c r="A343" s="29">
        <v>390</v>
      </c>
      <c r="B343" s="56">
        <v>45446</v>
      </c>
      <c r="C343" s="55">
        <v>45444</v>
      </c>
      <c r="D343" s="39" t="s">
        <v>27</v>
      </c>
      <c r="E343" s="34" t="s">
        <v>52</v>
      </c>
      <c r="F343" s="34"/>
      <c r="G343" s="39" t="s">
        <v>29</v>
      </c>
      <c r="H343" s="97">
        <v>1000287</v>
      </c>
      <c r="I343" s="39" t="s">
        <v>30</v>
      </c>
      <c r="J343" s="34" t="s">
        <v>356</v>
      </c>
      <c r="K343" s="31">
        <v>7045</v>
      </c>
      <c r="L343" s="34" t="s">
        <v>89</v>
      </c>
      <c r="M343" s="97"/>
      <c r="N343" s="31">
        <v>371055</v>
      </c>
      <c r="O343" s="34"/>
      <c r="P343" s="57">
        <v>1688.1</v>
      </c>
      <c r="Q343" s="57" t="s">
        <v>34</v>
      </c>
      <c r="R343" s="64">
        <v>13.69</v>
      </c>
      <c r="S343" s="64">
        <f>Table4[[#This Row],[VALUE]]*Table4[[#This Row],[QTD]]</f>
        <v>23110.088999999996</v>
      </c>
    </row>
    <row r="344" spans="1:19" s="4" customFormat="1" ht="15" hidden="1" customHeight="1" x14ac:dyDescent="0.2">
      <c r="A344" s="29">
        <v>391</v>
      </c>
      <c r="B344" s="56">
        <v>45371</v>
      </c>
      <c r="C344" s="55">
        <v>45413</v>
      </c>
      <c r="D344" s="34" t="s">
        <v>18</v>
      </c>
      <c r="E344" s="34" t="s">
        <v>260</v>
      </c>
      <c r="F344" s="34"/>
      <c r="G344" s="34" t="s">
        <v>358</v>
      </c>
      <c r="H344" s="31" t="s">
        <v>21</v>
      </c>
      <c r="I344" s="34" t="s">
        <v>22</v>
      </c>
      <c r="J344" s="34" t="s">
        <v>23</v>
      </c>
      <c r="K344" s="31" t="s">
        <v>24</v>
      </c>
      <c r="L344" s="34" t="s">
        <v>263</v>
      </c>
      <c r="M344" s="31" t="s">
        <v>24</v>
      </c>
      <c r="N344" s="31">
        <v>371069</v>
      </c>
      <c r="O344" s="34" t="s">
        <v>25</v>
      </c>
      <c r="P344" s="57">
        <v>1</v>
      </c>
      <c r="Q344" s="57" t="s">
        <v>26</v>
      </c>
      <c r="R344" s="58">
        <v>53119</v>
      </c>
      <c r="S344" s="59">
        <v>53119</v>
      </c>
    </row>
    <row r="345" spans="1:19" s="25" customFormat="1" ht="15" hidden="1" customHeight="1" x14ac:dyDescent="0.2">
      <c r="A345" s="60">
        <v>392</v>
      </c>
      <c r="B345" s="101">
        <v>45455</v>
      </c>
      <c r="C345" s="99">
        <v>45444</v>
      </c>
      <c r="D345" s="39" t="s">
        <v>41</v>
      </c>
      <c r="E345" s="39" t="s">
        <v>28</v>
      </c>
      <c r="F345" s="39"/>
      <c r="G345" s="39" t="s">
        <v>75</v>
      </c>
      <c r="H345" s="31">
        <v>1000238</v>
      </c>
      <c r="I345" s="39" t="s">
        <v>42</v>
      </c>
      <c r="J345" s="39" t="s">
        <v>359</v>
      </c>
      <c r="K345" s="97"/>
      <c r="L345" s="39" t="s">
        <v>222</v>
      </c>
      <c r="M345" s="97">
        <v>7901</v>
      </c>
      <c r="N345" s="31">
        <v>371094</v>
      </c>
      <c r="O345" s="39"/>
      <c r="P345" s="50">
        <v>1</v>
      </c>
      <c r="Q345" s="50" t="s">
        <v>26</v>
      </c>
      <c r="R345" s="64">
        <v>761.4</v>
      </c>
      <c r="S345" s="64">
        <f>Table4[[#This Row],[VALUE]]*Table4[[#This Row],[QTD]]</f>
        <v>761.4</v>
      </c>
    </row>
    <row r="346" spans="1:19" s="4" customFormat="1" ht="15" hidden="1" customHeight="1" x14ac:dyDescent="0.2">
      <c r="A346" s="60">
        <v>393</v>
      </c>
      <c r="B346" s="101">
        <v>45455</v>
      </c>
      <c r="C346" s="99">
        <v>45444</v>
      </c>
      <c r="D346" s="39" t="s">
        <v>27</v>
      </c>
      <c r="E346" s="39" t="s">
        <v>28</v>
      </c>
      <c r="F346" s="39"/>
      <c r="G346" s="39" t="s">
        <v>75</v>
      </c>
      <c r="H346" s="97">
        <v>1000287</v>
      </c>
      <c r="I346" s="39" t="s">
        <v>30</v>
      </c>
      <c r="J346" s="39" t="s">
        <v>360</v>
      </c>
      <c r="K346" s="97">
        <v>7063</v>
      </c>
      <c r="L346" s="39" t="s">
        <v>387</v>
      </c>
      <c r="M346" s="97"/>
      <c r="N346" s="31">
        <v>371094</v>
      </c>
      <c r="O346" s="39"/>
      <c r="P346" s="50">
        <v>1145</v>
      </c>
      <c r="Q346" s="50" t="s">
        <v>34</v>
      </c>
      <c r="R346" s="64">
        <v>12.28</v>
      </c>
      <c r="S346" s="64">
        <f>Table4[[#This Row],[VALUE]]*Table4[[#This Row],[QTD]]</f>
        <v>14060.599999999999</v>
      </c>
    </row>
    <row r="347" spans="1:19" s="4" customFormat="1" ht="15" hidden="1" customHeight="1" x14ac:dyDescent="0.2">
      <c r="A347" s="60">
        <v>394</v>
      </c>
      <c r="B347" s="101">
        <v>45455</v>
      </c>
      <c r="C347" s="99">
        <v>45444</v>
      </c>
      <c r="D347" s="39" t="s">
        <v>147</v>
      </c>
      <c r="E347" s="39" t="s">
        <v>28</v>
      </c>
      <c r="F347" s="39"/>
      <c r="G347" s="39" t="s">
        <v>75</v>
      </c>
      <c r="H347" s="97" t="s">
        <v>21</v>
      </c>
      <c r="I347" s="39" t="s">
        <v>361</v>
      </c>
      <c r="J347" s="39" t="s">
        <v>147</v>
      </c>
      <c r="K347" s="97"/>
      <c r="L347" s="39" t="s">
        <v>222</v>
      </c>
      <c r="M347" s="97">
        <v>7901</v>
      </c>
      <c r="N347" s="31">
        <v>371094</v>
      </c>
      <c r="O347" s="39"/>
      <c r="P347" s="50">
        <v>1</v>
      </c>
      <c r="Q347" s="50" t="s">
        <v>26</v>
      </c>
      <c r="R347" s="64">
        <v>525</v>
      </c>
      <c r="S347" s="64">
        <f>Table4[[#This Row],[VALUE]]*Table4[[#This Row],[QTD]]</f>
        <v>525</v>
      </c>
    </row>
    <row r="348" spans="1:19" s="4" customFormat="1" ht="15" hidden="1" customHeight="1" x14ac:dyDescent="0.2">
      <c r="A348" s="60">
        <v>395</v>
      </c>
      <c r="B348" s="101">
        <v>45455</v>
      </c>
      <c r="C348" s="99">
        <v>45444</v>
      </c>
      <c r="D348" s="39" t="s">
        <v>41</v>
      </c>
      <c r="E348" s="39" t="s">
        <v>28</v>
      </c>
      <c r="F348" s="39"/>
      <c r="G348" s="39" t="s">
        <v>75</v>
      </c>
      <c r="H348" s="31">
        <v>1000238</v>
      </c>
      <c r="I348" s="39" t="s">
        <v>42</v>
      </c>
      <c r="J348" s="39" t="s">
        <v>359</v>
      </c>
      <c r="K348" s="97"/>
      <c r="L348" s="39" t="s">
        <v>222</v>
      </c>
      <c r="M348" s="97">
        <v>7901</v>
      </c>
      <c r="N348" s="31">
        <v>371094</v>
      </c>
      <c r="O348" s="39"/>
      <c r="P348" s="50">
        <v>1</v>
      </c>
      <c r="Q348" s="50" t="s">
        <v>26</v>
      </c>
      <c r="R348" s="64">
        <v>767.4</v>
      </c>
      <c r="S348" s="64">
        <f>Table4[[#This Row],[VALUE]]*Table4[[#This Row],[QTD]]</f>
        <v>767.4</v>
      </c>
    </row>
    <row r="349" spans="1:19" s="4" customFormat="1" ht="15" hidden="1" customHeight="1" x14ac:dyDescent="0.2">
      <c r="A349" s="60">
        <v>396</v>
      </c>
      <c r="B349" s="101">
        <v>45455</v>
      </c>
      <c r="C349" s="99">
        <v>45444</v>
      </c>
      <c r="D349" s="39" t="s">
        <v>27</v>
      </c>
      <c r="E349" s="39" t="s">
        <v>28</v>
      </c>
      <c r="F349" s="39"/>
      <c r="G349" s="39" t="s">
        <v>75</v>
      </c>
      <c r="H349" s="97">
        <v>1000287</v>
      </c>
      <c r="I349" s="39" t="s">
        <v>30</v>
      </c>
      <c r="J349" s="39" t="s">
        <v>360</v>
      </c>
      <c r="K349" s="97">
        <v>7063</v>
      </c>
      <c r="L349" s="39" t="s">
        <v>387</v>
      </c>
      <c r="M349" s="97"/>
      <c r="N349" s="31">
        <v>371094</v>
      </c>
      <c r="O349" s="39"/>
      <c r="P349" s="50">
        <v>575</v>
      </c>
      <c r="Q349" s="50" t="s">
        <v>34</v>
      </c>
      <c r="R349" s="64">
        <v>12.28</v>
      </c>
      <c r="S349" s="64">
        <f>Table4[[#This Row],[VALUE]]*Table4[[#This Row],[QTD]]</f>
        <v>7061</v>
      </c>
    </row>
    <row r="350" spans="1:19" s="4" customFormat="1" ht="15" hidden="1" customHeight="1" x14ac:dyDescent="0.2">
      <c r="A350" s="60">
        <v>397</v>
      </c>
      <c r="B350" s="101">
        <v>45455</v>
      </c>
      <c r="C350" s="99">
        <v>45444</v>
      </c>
      <c r="D350" s="39" t="s">
        <v>147</v>
      </c>
      <c r="E350" s="39" t="s">
        <v>28</v>
      </c>
      <c r="F350" s="39"/>
      <c r="G350" s="39" t="s">
        <v>75</v>
      </c>
      <c r="H350" s="97" t="s">
        <v>21</v>
      </c>
      <c r="I350" s="39" t="s">
        <v>361</v>
      </c>
      <c r="J350" s="39" t="s">
        <v>147</v>
      </c>
      <c r="K350" s="97"/>
      <c r="L350" s="39" t="s">
        <v>222</v>
      </c>
      <c r="M350" s="97">
        <v>7901</v>
      </c>
      <c r="N350" s="31">
        <v>371094</v>
      </c>
      <c r="O350" s="39"/>
      <c r="P350" s="50">
        <v>1</v>
      </c>
      <c r="Q350" s="50" t="s">
        <v>26</v>
      </c>
      <c r="R350" s="64">
        <v>455</v>
      </c>
      <c r="S350" s="64">
        <f>Table4[[#This Row],[VALUE]]*Table4[[#This Row],[QTD]]</f>
        <v>455</v>
      </c>
    </row>
    <row r="351" spans="1:19" s="4" customFormat="1" ht="15" hidden="1" customHeight="1" x14ac:dyDescent="0.2">
      <c r="A351" s="60">
        <v>398</v>
      </c>
      <c r="B351" s="101">
        <v>45455</v>
      </c>
      <c r="C351" s="99">
        <v>45444</v>
      </c>
      <c r="D351" s="39" t="s">
        <v>41</v>
      </c>
      <c r="E351" s="39" t="s">
        <v>28</v>
      </c>
      <c r="F351" s="39"/>
      <c r="G351" s="39" t="s">
        <v>75</v>
      </c>
      <c r="H351" s="31">
        <v>1000238</v>
      </c>
      <c r="I351" s="39" t="s">
        <v>42</v>
      </c>
      <c r="J351" s="39" t="s">
        <v>359</v>
      </c>
      <c r="K351" s="97"/>
      <c r="L351" s="39" t="s">
        <v>222</v>
      </c>
      <c r="M351" s="97">
        <v>7901</v>
      </c>
      <c r="N351" s="31">
        <v>371094</v>
      </c>
      <c r="O351" s="39"/>
      <c r="P351" s="50">
        <v>1</v>
      </c>
      <c r="Q351" s="50" t="s">
        <v>26</v>
      </c>
      <c r="R351" s="64">
        <v>0</v>
      </c>
      <c r="S351" s="64">
        <f>Table4[[#This Row],[VALUE]]*Table4[[#This Row],[QTD]]</f>
        <v>0</v>
      </c>
    </row>
    <row r="352" spans="1:19" s="4" customFormat="1" ht="15" hidden="1" customHeight="1" x14ac:dyDescent="0.2">
      <c r="A352" s="60">
        <v>399</v>
      </c>
      <c r="B352" s="101">
        <v>45455</v>
      </c>
      <c r="C352" s="99">
        <v>45444</v>
      </c>
      <c r="D352" s="39" t="s">
        <v>27</v>
      </c>
      <c r="E352" s="39" t="s">
        <v>28</v>
      </c>
      <c r="F352" s="39"/>
      <c r="G352" s="39" t="s">
        <v>75</v>
      </c>
      <c r="H352" s="97">
        <v>1000287</v>
      </c>
      <c r="I352" s="39" t="s">
        <v>30</v>
      </c>
      <c r="J352" s="39" t="s">
        <v>360</v>
      </c>
      <c r="K352" s="97">
        <v>7063</v>
      </c>
      <c r="L352" s="39" t="s">
        <v>387</v>
      </c>
      <c r="M352" s="97"/>
      <c r="N352" s="31">
        <v>371094</v>
      </c>
      <c r="O352" s="39"/>
      <c r="P352" s="50">
        <v>575</v>
      </c>
      <c r="Q352" s="50" t="s">
        <v>34</v>
      </c>
      <c r="R352" s="64">
        <v>12.28</v>
      </c>
      <c r="S352" s="64">
        <f>Table4[[#This Row],[VALUE]]*Table4[[#This Row],[QTD]]</f>
        <v>7061</v>
      </c>
    </row>
    <row r="353" spans="1:19" s="4" customFormat="1" ht="15" hidden="1" customHeight="1" x14ac:dyDescent="0.2">
      <c r="A353" s="60">
        <v>400</v>
      </c>
      <c r="B353" s="101">
        <v>45455</v>
      </c>
      <c r="C353" s="99">
        <v>45444</v>
      </c>
      <c r="D353" s="39" t="s">
        <v>147</v>
      </c>
      <c r="E353" s="39" t="s">
        <v>28</v>
      </c>
      <c r="F353" s="39"/>
      <c r="G353" s="39" t="s">
        <v>75</v>
      </c>
      <c r="H353" s="97" t="s">
        <v>21</v>
      </c>
      <c r="I353" s="39" t="s">
        <v>361</v>
      </c>
      <c r="J353" s="39" t="s">
        <v>147</v>
      </c>
      <c r="K353" s="97"/>
      <c r="L353" s="39" t="s">
        <v>222</v>
      </c>
      <c r="M353" s="97">
        <v>7901</v>
      </c>
      <c r="N353" s="31">
        <v>371094</v>
      </c>
      <c r="O353" s="39"/>
      <c r="P353" s="50">
        <v>1</v>
      </c>
      <c r="Q353" s="50" t="s">
        <v>26</v>
      </c>
      <c r="R353" s="64">
        <v>455</v>
      </c>
      <c r="S353" s="64">
        <f>Table4[[#This Row],[VALUE]]*Table4[[#This Row],[QTD]]</f>
        <v>455</v>
      </c>
    </row>
    <row r="354" spans="1:19" s="4" customFormat="1" ht="15" hidden="1" customHeight="1" x14ac:dyDescent="0.2">
      <c r="A354" s="60">
        <v>401</v>
      </c>
      <c r="B354" s="101">
        <v>45455</v>
      </c>
      <c r="C354" s="99">
        <v>45444</v>
      </c>
      <c r="D354" s="39" t="s">
        <v>41</v>
      </c>
      <c r="E354" s="39" t="s">
        <v>28</v>
      </c>
      <c r="F354" s="39"/>
      <c r="G354" s="39" t="s">
        <v>75</v>
      </c>
      <c r="H354" s="31">
        <v>1000238</v>
      </c>
      <c r="I354" s="39" t="s">
        <v>42</v>
      </c>
      <c r="J354" s="39" t="s">
        <v>359</v>
      </c>
      <c r="K354" s="97"/>
      <c r="L354" s="39" t="s">
        <v>222</v>
      </c>
      <c r="M354" s="97">
        <v>7901</v>
      </c>
      <c r="N354" s="31">
        <v>371094</v>
      </c>
      <c r="O354" s="39"/>
      <c r="P354" s="50">
        <v>1</v>
      </c>
      <c r="Q354" s="50" t="s">
        <v>26</v>
      </c>
      <c r="R354" s="64">
        <v>834.93</v>
      </c>
      <c r="S354" s="64">
        <f>Table4[[#This Row],[VALUE]]*Table4[[#This Row],[QTD]]</f>
        <v>834.93</v>
      </c>
    </row>
    <row r="355" spans="1:19" s="4" customFormat="1" ht="15" hidden="1" customHeight="1" x14ac:dyDescent="0.2">
      <c r="A355" s="60">
        <v>402</v>
      </c>
      <c r="B355" s="101">
        <v>45455</v>
      </c>
      <c r="C355" s="99">
        <v>45444</v>
      </c>
      <c r="D355" s="39" t="s">
        <v>27</v>
      </c>
      <c r="E355" s="39" t="s">
        <v>28</v>
      </c>
      <c r="F355" s="39"/>
      <c r="G355" s="39" t="s">
        <v>75</v>
      </c>
      <c r="H355" s="97">
        <v>1000287</v>
      </c>
      <c r="I355" s="39" t="s">
        <v>30</v>
      </c>
      <c r="J355" s="39" t="s">
        <v>360</v>
      </c>
      <c r="K355" s="97">
        <v>7063</v>
      </c>
      <c r="L355" s="39" t="s">
        <v>387</v>
      </c>
      <c r="M355" s="97"/>
      <c r="N355" s="31">
        <v>371094</v>
      </c>
      <c r="O355" s="39"/>
      <c r="P355" s="50">
        <v>1161</v>
      </c>
      <c r="Q355" s="50" t="s">
        <v>34</v>
      </c>
      <c r="R355" s="64">
        <v>12.28</v>
      </c>
      <c r="S355" s="64">
        <f>Table4[[#This Row],[VALUE]]*Table4[[#This Row],[QTD]]</f>
        <v>14257.08</v>
      </c>
    </row>
    <row r="356" spans="1:19" s="4" customFormat="1" ht="15" hidden="1" customHeight="1" x14ac:dyDescent="0.2">
      <c r="A356" s="60">
        <v>403</v>
      </c>
      <c r="B356" s="101">
        <v>45455</v>
      </c>
      <c r="C356" s="99">
        <v>45444</v>
      </c>
      <c r="D356" s="39" t="s">
        <v>147</v>
      </c>
      <c r="E356" s="39" t="s">
        <v>28</v>
      </c>
      <c r="F356" s="39"/>
      <c r="G356" s="39" t="s">
        <v>75</v>
      </c>
      <c r="H356" s="97" t="s">
        <v>21</v>
      </c>
      <c r="I356" s="39" t="s">
        <v>361</v>
      </c>
      <c r="J356" s="39" t="s">
        <v>147</v>
      </c>
      <c r="K356" s="97"/>
      <c r="L356" s="39" t="s">
        <v>222</v>
      </c>
      <c r="M356" s="97">
        <v>7901</v>
      </c>
      <c r="N356" s="31">
        <v>371094</v>
      </c>
      <c r="O356" s="39"/>
      <c r="P356" s="50">
        <v>1</v>
      </c>
      <c r="Q356" s="50" t="s">
        <v>26</v>
      </c>
      <c r="R356" s="64">
        <v>630</v>
      </c>
      <c r="S356" s="64">
        <f>Table4[[#This Row],[VALUE]]*Table4[[#This Row],[QTD]]</f>
        <v>630</v>
      </c>
    </row>
    <row r="357" spans="1:19" s="4" customFormat="1" ht="15" hidden="1" customHeight="1" x14ac:dyDescent="0.2">
      <c r="A357" s="60">
        <v>404</v>
      </c>
      <c r="B357" s="61">
        <v>45443</v>
      </c>
      <c r="C357" s="99">
        <v>45413</v>
      </c>
      <c r="D357" s="39" t="s">
        <v>41</v>
      </c>
      <c r="E357" s="34" t="s">
        <v>383</v>
      </c>
      <c r="F357" s="34"/>
      <c r="G357" s="34" t="s">
        <v>142</v>
      </c>
      <c r="H357" s="31">
        <v>1000238</v>
      </c>
      <c r="I357" s="39" t="s">
        <v>42</v>
      </c>
      <c r="J357" s="39" t="s">
        <v>363</v>
      </c>
      <c r="K357" s="97"/>
      <c r="L357" s="39" t="s">
        <v>222</v>
      </c>
      <c r="M357" s="97">
        <v>7901</v>
      </c>
      <c r="N357" s="97">
        <v>371065</v>
      </c>
      <c r="O357" s="39"/>
      <c r="P357" s="50">
        <v>1</v>
      </c>
      <c r="Q357" s="50" t="s">
        <v>26</v>
      </c>
      <c r="R357" s="64">
        <v>674.73</v>
      </c>
      <c r="S357" s="64">
        <f>Table4[[#This Row],[VALUE]]*Table4[[#This Row],[QTD]]</f>
        <v>674.73</v>
      </c>
    </row>
    <row r="358" spans="1:19" s="4" customFormat="1" ht="15" hidden="1" customHeight="1" x14ac:dyDescent="0.2">
      <c r="A358" s="60">
        <v>405</v>
      </c>
      <c r="B358" s="61">
        <v>45443</v>
      </c>
      <c r="C358" s="99">
        <v>45413</v>
      </c>
      <c r="D358" s="39" t="s">
        <v>27</v>
      </c>
      <c r="E358" s="34" t="s">
        <v>383</v>
      </c>
      <c r="F358" s="34"/>
      <c r="G358" s="34" t="s">
        <v>142</v>
      </c>
      <c r="H358" s="97">
        <v>1000287</v>
      </c>
      <c r="I358" s="39" t="s">
        <v>30</v>
      </c>
      <c r="J358" s="39" t="s">
        <v>362</v>
      </c>
      <c r="K358" s="97">
        <v>4106</v>
      </c>
      <c r="L358" s="39" t="s">
        <v>282</v>
      </c>
      <c r="M358" s="97"/>
      <c r="N358" s="97">
        <v>371065</v>
      </c>
      <c r="O358" s="39"/>
      <c r="P358" s="50">
        <v>430</v>
      </c>
      <c r="Q358" s="50" t="s">
        <v>34</v>
      </c>
      <c r="R358" s="64">
        <v>12.06</v>
      </c>
      <c r="S358" s="64">
        <f>Table4[[#This Row],[VALUE]]*Table4[[#This Row],[QTD]]</f>
        <v>5185.8</v>
      </c>
    </row>
    <row r="359" spans="1:19" s="4" customFormat="1" ht="15" hidden="1" customHeight="1" x14ac:dyDescent="0.2">
      <c r="A359" s="60">
        <v>406</v>
      </c>
      <c r="B359" s="61">
        <v>45439</v>
      </c>
      <c r="C359" s="99">
        <v>45413</v>
      </c>
      <c r="D359" s="39" t="s">
        <v>41</v>
      </c>
      <c r="E359" s="34" t="s">
        <v>383</v>
      </c>
      <c r="F359" s="34"/>
      <c r="G359" s="34" t="s">
        <v>142</v>
      </c>
      <c r="H359" s="31">
        <v>1000238</v>
      </c>
      <c r="I359" s="39" t="s">
        <v>42</v>
      </c>
      <c r="J359" s="39" t="s">
        <v>364</v>
      </c>
      <c r="K359" s="97"/>
      <c r="L359" s="39" t="s">
        <v>222</v>
      </c>
      <c r="M359" s="97">
        <v>7901</v>
      </c>
      <c r="N359" s="97">
        <v>371065</v>
      </c>
      <c r="O359" s="39"/>
      <c r="P359" s="50">
        <v>1</v>
      </c>
      <c r="Q359" s="50" t="s">
        <v>26</v>
      </c>
      <c r="R359" s="64">
        <v>843.1</v>
      </c>
      <c r="S359" s="64">
        <f>Table4[[#This Row],[VALUE]]*Table4[[#This Row],[QTD]]</f>
        <v>843.1</v>
      </c>
    </row>
    <row r="360" spans="1:19" s="4" customFormat="1" ht="15" hidden="1" customHeight="1" x14ac:dyDescent="0.2">
      <c r="A360" s="60">
        <v>407</v>
      </c>
      <c r="B360" s="61">
        <v>45439</v>
      </c>
      <c r="C360" s="99">
        <v>45413</v>
      </c>
      <c r="D360" s="39" t="s">
        <v>27</v>
      </c>
      <c r="E360" s="34" t="s">
        <v>383</v>
      </c>
      <c r="F360" s="34"/>
      <c r="G360" s="34" t="s">
        <v>142</v>
      </c>
      <c r="H360" s="97">
        <v>1000287</v>
      </c>
      <c r="I360" s="39" t="s">
        <v>30</v>
      </c>
      <c r="J360" s="39" t="s">
        <v>365</v>
      </c>
      <c r="K360" s="97">
        <v>4006</v>
      </c>
      <c r="L360" s="39" t="s">
        <v>386</v>
      </c>
      <c r="M360" s="97"/>
      <c r="N360" s="97">
        <v>371065</v>
      </c>
      <c r="O360" s="39"/>
      <c r="P360" s="50">
        <v>419</v>
      </c>
      <c r="Q360" s="50" t="s">
        <v>34</v>
      </c>
      <c r="R360" s="64">
        <v>12.06</v>
      </c>
      <c r="S360" s="64">
        <f>Table4[[#This Row],[VALUE]]*Table4[[#This Row],[QTD]]</f>
        <v>5053.1400000000003</v>
      </c>
    </row>
    <row r="361" spans="1:19" s="4" customFormat="1" ht="15" hidden="1" customHeight="1" x14ac:dyDescent="0.2">
      <c r="A361" s="60">
        <v>408</v>
      </c>
      <c r="B361" s="61">
        <v>45439</v>
      </c>
      <c r="C361" s="99">
        <v>45413</v>
      </c>
      <c r="D361" s="39" t="s">
        <v>147</v>
      </c>
      <c r="E361" s="34" t="s">
        <v>383</v>
      </c>
      <c r="F361" s="34"/>
      <c r="G361" s="34" t="s">
        <v>142</v>
      </c>
      <c r="H361" s="97" t="s">
        <v>21</v>
      </c>
      <c r="I361" s="39" t="s">
        <v>361</v>
      </c>
      <c r="J361" s="39" t="s">
        <v>147</v>
      </c>
      <c r="K361" s="97"/>
      <c r="L361" s="39" t="s">
        <v>222</v>
      </c>
      <c r="M361" s="97">
        <v>7901</v>
      </c>
      <c r="N361" s="97">
        <v>371065</v>
      </c>
      <c r="O361" s="39"/>
      <c r="P361" s="50">
        <v>1</v>
      </c>
      <c r="Q361" s="50"/>
      <c r="R361" s="64">
        <v>260</v>
      </c>
      <c r="S361" s="64">
        <f>Table4[[#This Row],[VALUE]]*Table4[[#This Row],[QTD]]</f>
        <v>260</v>
      </c>
    </row>
    <row r="362" spans="1:19" s="4" customFormat="1" ht="15" hidden="1" customHeight="1" x14ac:dyDescent="0.2">
      <c r="A362" s="60">
        <v>409</v>
      </c>
      <c r="B362" s="61">
        <v>45465</v>
      </c>
      <c r="C362" s="99">
        <v>45444</v>
      </c>
      <c r="D362" s="39" t="s">
        <v>41</v>
      </c>
      <c r="E362" s="34" t="s">
        <v>52</v>
      </c>
      <c r="F362" s="34"/>
      <c r="G362" s="34" t="s">
        <v>142</v>
      </c>
      <c r="H362" s="31">
        <v>1000238</v>
      </c>
      <c r="I362" s="39" t="s">
        <v>42</v>
      </c>
      <c r="J362" s="39" t="s">
        <v>366</v>
      </c>
      <c r="K362" s="97"/>
      <c r="L362" s="39" t="s">
        <v>222</v>
      </c>
      <c r="M362" s="97">
        <v>7901</v>
      </c>
      <c r="N362" s="31">
        <v>371055</v>
      </c>
      <c r="O362" s="39"/>
      <c r="P362" s="50">
        <v>1</v>
      </c>
      <c r="Q362" s="50" t="s">
        <v>26</v>
      </c>
      <c r="R362" s="64">
        <v>445.05999999999995</v>
      </c>
      <c r="S362" s="64">
        <f>Table4[[#This Row],[VALUE]]*Table4[[#This Row],[QTD]]</f>
        <v>445.05999999999995</v>
      </c>
    </row>
    <row r="363" spans="1:19" s="4" customFormat="1" ht="15" hidden="1" customHeight="1" x14ac:dyDescent="0.2">
      <c r="A363" s="60">
        <v>410</v>
      </c>
      <c r="B363" s="61">
        <v>45465</v>
      </c>
      <c r="C363" s="99">
        <v>45444</v>
      </c>
      <c r="D363" s="39" t="s">
        <v>27</v>
      </c>
      <c r="E363" s="34" t="s">
        <v>52</v>
      </c>
      <c r="F363" s="34"/>
      <c r="G363" s="34" t="s">
        <v>142</v>
      </c>
      <c r="H363" s="97">
        <v>1000287</v>
      </c>
      <c r="I363" s="39" t="s">
        <v>30</v>
      </c>
      <c r="J363" s="39" t="s">
        <v>367</v>
      </c>
      <c r="K363" s="97">
        <v>4060</v>
      </c>
      <c r="L363" s="39" t="s">
        <v>49</v>
      </c>
      <c r="M363" s="97"/>
      <c r="N363" s="31">
        <v>371055</v>
      </c>
      <c r="O363" s="39"/>
      <c r="P363" s="50">
        <v>465</v>
      </c>
      <c r="Q363" s="50" t="s">
        <v>34</v>
      </c>
      <c r="R363" s="64">
        <v>12.06</v>
      </c>
      <c r="S363" s="64">
        <f>Table4[[#This Row],[VALUE]]*Table4[[#This Row],[QTD]]</f>
        <v>5607.9000000000005</v>
      </c>
    </row>
    <row r="364" spans="1:19" s="4" customFormat="1" ht="15" hidden="1" customHeight="1" x14ac:dyDescent="0.2">
      <c r="A364" s="60">
        <v>411</v>
      </c>
      <c r="B364" s="61">
        <v>45465</v>
      </c>
      <c r="C364" s="99">
        <v>45444</v>
      </c>
      <c r="D364" s="39" t="s">
        <v>147</v>
      </c>
      <c r="E364" s="34" t="s">
        <v>52</v>
      </c>
      <c r="F364" s="34"/>
      <c r="G364" s="34" t="s">
        <v>142</v>
      </c>
      <c r="H364" s="97" t="s">
        <v>21</v>
      </c>
      <c r="I364" s="39" t="s">
        <v>361</v>
      </c>
      <c r="J364" s="39" t="s">
        <v>147</v>
      </c>
      <c r="K364" s="97"/>
      <c r="L364" s="39" t="s">
        <v>222</v>
      </c>
      <c r="M364" s="97">
        <v>7901</v>
      </c>
      <c r="N364" s="31">
        <v>371055</v>
      </c>
      <c r="O364" s="39"/>
      <c r="P364" s="50">
        <v>1</v>
      </c>
      <c r="Q364" s="50"/>
      <c r="R364" s="64">
        <v>260</v>
      </c>
      <c r="S364" s="64">
        <f>Table4[[#This Row],[VALUE]]*Table4[[#This Row],[QTD]]</f>
        <v>260</v>
      </c>
    </row>
    <row r="365" spans="1:19" s="6" customFormat="1" ht="15" hidden="1" customHeight="1" x14ac:dyDescent="0.2">
      <c r="A365" s="60">
        <v>412</v>
      </c>
      <c r="B365" s="61">
        <v>45433</v>
      </c>
      <c r="C365" s="99">
        <v>45413</v>
      </c>
      <c r="D365" s="39" t="s">
        <v>41</v>
      </c>
      <c r="E365" s="39" t="s">
        <v>19</v>
      </c>
      <c r="F365" s="39"/>
      <c r="G365" s="39" t="s">
        <v>75</v>
      </c>
      <c r="H365" s="31">
        <v>1000238</v>
      </c>
      <c r="I365" s="39" t="s">
        <v>42</v>
      </c>
      <c r="J365" s="39" t="s">
        <v>368</v>
      </c>
      <c r="K365" s="97"/>
      <c r="L365" s="39" t="s">
        <v>222</v>
      </c>
      <c r="M365" s="97">
        <v>7901</v>
      </c>
      <c r="N365" s="97">
        <v>371075</v>
      </c>
      <c r="O365" s="39"/>
      <c r="P365" s="50">
        <v>1</v>
      </c>
      <c r="Q365" s="50" t="s">
        <v>26</v>
      </c>
      <c r="R365" s="64">
        <v>188.9</v>
      </c>
      <c r="S365" s="64">
        <f>Table4[[#This Row],[VALUE]]*Table4[[#This Row],[QTD]]</f>
        <v>188.9</v>
      </c>
    </row>
    <row r="366" spans="1:19" s="6" customFormat="1" ht="15" hidden="1" customHeight="1" x14ac:dyDescent="0.2">
      <c r="A366" s="60">
        <v>413</v>
      </c>
      <c r="B366" s="61">
        <v>45433</v>
      </c>
      <c r="C366" s="99">
        <v>45413</v>
      </c>
      <c r="D366" s="39" t="s">
        <v>27</v>
      </c>
      <c r="E366" s="39" t="s">
        <v>19</v>
      </c>
      <c r="F366" s="39"/>
      <c r="G366" s="39" t="s">
        <v>75</v>
      </c>
      <c r="H366" s="97">
        <v>1000287</v>
      </c>
      <c r="I366" s="39" t="s">
        <v>30</v>
      </c>
      <c r="J366" s="39" t="s">
        <v>369</v>
      </c>
      <c r="K366" s="97">
        <v>4068</v>
      </c>
      <c r="L366" s="39" t="s">
        <v>249</v>
      </c>
      <c r="M366" s="97"/>
      <c r="N366" s="97">
        <v>371075</v>
      </c>
      <c r="O366" s="39"/>
      <c r="P366" s="50">
        <v>334</v>
      </c>
      <c r="Q366" s="50" t="s">
        <v>34</v>
      </c>
      <c r="R366" s="64">
        <v>12.28</v>
      </c>
      <c r="S366" s="64">
        <f>Table4[[#This Row],[VALUE]]*Table4[[#This Row],[QTD]]</f>
        <v>4101.5199999999995</v>
      </c>
    </row>
    <row r="367" spans="1:19" s="4" customFormat="1" ht="15" hidden="1" customHeight="1" x14ac:dyDescent="0.2">
      <c r="A367" s="60">
        <v>414</v>
      </c>
      <c r="B367" s="61">
        <v>45474</v>
      </c>
      <c r="C367" s="99">
        <v>45474</v>
      </c>
      <c r="D367" s="39" t="s">
        <v>41</v>
      </c>
      <c r="E367" s="39" t="s">
        <v>28</v>
      </c>
      <c r="F367" s="39"/>
      <c r="G367" s="39" t="s">
        <v>75</v>
      </c>
      <c r="H367" s="31">
        <v>1000238</v>
      </c>
      <c r="I367" s="39" t="s">
        <v>42</v>
      </c>
      <c r="J367" s="39" t="s">
        <v>370</v>
      </c>
      <c r="K367" s="97"/>
      <c r="L367" s="39" t="s">
        <v>222</v>
      </c>
      <c r="M367" s="97">
        <v>7901</v>
      </c>
      <c r="N367" s="31">
        <v>371094</v>
      </c>
      <c r="O367" s="39"/>
      <c r="P367" s="50">
        <v>1</v>
      </c>
      <c r="Q367" s="50" t="s">
        <v>26</v>
      </c>
      <c r="R367" s="64">
        <v>188.8</v>
      </c>
      <c r="S367" s="64">
        <f>Table4[[#This Row],[VALUE]]*Table4[[#This Row],[QTD]]</f>
        <v>188.8</v>
      </c>
    </row>
    <row r="368" spans="1:19" s="4" customFormat="1" ht="15" hidden="1" customHeight="1" x14ac:dyDescent="0.2">
      <c r="A368" s="60">
        <v>415</v>
      </c>
      <c r="B368" s="61">
        <v>45474</v>
      </c>
      <c r="C368" s="99">
        <v>45474</v>
      </c>
      <c r="D368" s="39" t="s">
        <v>27</v>
      </c>
      <c r="E368" s="39" t="s">
        <v>28</v>
      </c>
      <c r="F368" s="39"/>
      <c r="G368" s="39" t="s">
        <v>75</v>
      </c>
      <c r="H368" s="97">
        <v>1000287</v>
      </c>
      <c r="I368" s="39" t="s">
        <v>30</v>
      </c>
      <c r="J368" s="39" t="s">
        <v>371</v>
      </c>
      <c r="K368" s="97">
        <v>4029</v>
      </c>
      <c r="L368" s="39" t="s">
        <v>372</v>
      </c>
      <c r="M368" s="97"/>
      <c r="N368" s="31">
        <v>371094</v>
      </c>
      <c r="O368" s="39"/>
      <c r="P368" s="50">
        <v>224</v>
      </c>
      <c r="Q368" s="50" t="s">
        <v>34</v>
      </c>
      <c r="R368" s="64">
        <v>12.28</v>
      </c>
      <c r="S368" s="64">
        <f>Table4[[#This Row],[VALUE]]*Table4[[#This Row],[QTD]]</f>
        <v>2750.72</v>
      </c>
    </row>
    <row r="369" spans="1:19" s="4" customFormat="1" ht="15" hidden="1" customHeight="1" x14ac:dyDescent="0.2">
      <c r="A369" s="60">
        <v>416</v>
      </c>
      <c r="B369" s="61">
        <v>45474</v>
      </c>
      <c r="C369" s="99">
        <v>45474</v>
      </c>
      <c r="D369" s="39" t="s">
        <v>41</v>
      </c>
      <c r="E369" s="39" t="s">
        <v>28</v>
      </c>
      <c r="F369" s="39"/>
      <c r="G369" s="39" t="s">
        <v>75</v>
      </c>
      <c r="H369" s="31">
        <v>1000238</v>
      </c>
      <c r="I369" s="39" t="s">
        <v>42</v>
      </c>
      <c r="J369" s="39" t="s">
        <v>370</v>
      </c>
      <c r="K369" s="97"/>
      <c r="L369" s="39" t="s">
        <v>222</v>
      </c>
      <c r="M369" s="97">
        <v>7901</v>
      </c>
      <c r="N369" s="31">
        <v>371094</v>
      </c>
      <c r="O369" s="39"/>
      <c r="P369" s="50">
        <v>1</v>
      </c>
      <c r="Q369" s="50" t="s">
        <v>26</v>
      </c>
      <c r="R369" s="64">
        <v>86.1</v>
      </c>
      <c r="S369" s="64">
        <f>Table4[[#This Row],[VALUE]]*Table4[[#This Row],[QTD]]</f>
        <v>86.1</v>
      </c>
    </row>
    <row r="370" spans="1:19" s="4" customFormat="1" ht="15" hidden="1" customHeight="1" x14ac:dyDescent="0.2">
      <c r="A370" s="60">
        <v>417</v>
      </c>
      <c r="B370" s="61">
        <v>45474</v>
      </c>
      <c r="C370" s="99">
        <v>45474</v>
      </c>
      <c r="D370" s="39" t="s">
        <v>27</v>
      </c>
      <c r="E370" s="39" t="s">
        <v>28</v>
      </c>
      <c r="F370" s="39"/>
      <c r="G370" s="39" t="s">
        <v>75</v>
      </c>
      <c r="H370" s="97">
        <v>1000287</v>
      </c>
      <c r="I370" s="39" t="s">
        <v>30</v>
      </c>
      <c r="J370" s="39" t="s">
        <v>371</v>
      </c>
      <c r="K370" s="97">
        <v>4029</v>
      </c>
      <c r="L370" s="39" t="s">
        <v>372</v>
      </c>
      <c r="M370" s="97"/>
      <c r="N370" s="31">
        <v>371094</v>
      </c>
      <c r="O370" s="39"/>
      <c r="P370" s="50">
        <v>268</v>
      </c>
      <c r="Q370" s="50" t="s">
        <v>34</v>
      </c>
      <c r="R370" s="64">
        <v>12.28</v>
      </c>
      <c r="S370" s="64">
        <f>Table4[[#This Row],[VALUE]]*Table4[[#This Row],[QTD]]</f>
        <v>3291.04</v>
      </c>
    </row>
    <row r="371" spans="1:19" s="4" customFormat="1" ht="15" hidden="1" customHeight="1" x14ac:dyDescent="0.2">
      <c r="A371" s="60">
        <v>422</v>
      </c>
      <c r="B371" s="61">
        <v>45471</v>
      </c>
      <c r="C371" s="99">
        <v>45444</v>
      </c>
      <c r="D371" s="39" t="s">
        <v>41</v>
      </c>
      <c r="E371" s="39" t="s">
        <v>383</v>
      </c>
      <c r="F371" s="39"/>
      <c r="G371" s="39" t="s">
        <v>75</v>
      </c>
      <c r="H371" s="31">
        <v>1000238</v>
      </c>
      <c r="I371" s="39" t="s">
        <v>42</v>
      </c>
      <c r="J371" s="39" t="s">
        <v>373</v>
      </c>
      <c r="K371" s="97"/>
      <c r="L371" s="39" t="s">
        <v>222</v>
      </c>
      <c r="M371" s="97">
        <v>7901</v>
      </c>
      <c r="N371" s="97">
        <v>371065</v>
      </c>
      <c r="O371" s="67"/>
      <c r="P371" s="50">
        <v>1</v>
      </c>
      <c r="Q371" s="50" t="s">
        <v>26</v>
      </c>
      <c r="R371" s="64">
        <v>449.32</v>
      </c>
      <c r="S371" s="64">
        <f>Table4[[#This Row],[VALUE]]*Table4[[#This Row],[QTD]]</f>
        <v>449.32</v>
      </c>
    </row>
    <row r="372" spans="1:19" s="4" customFormat="1" ht="15" hidden="1" customHeight="1" x14ac:dyDescent="0.2">
      <c r="A372" s="60">
        <v>423</v>
      </c>
      <c r="B372" s="61">
        <v>45471</v>
      </c>
      <c r="C372" s="99">
        <v>45444</v>
      </c>
      <c r="D372" s="39" t="s">
        <v>27</v>
      </c>
      <c r="E372" s="39" t="s">
        <v>383</v>
      </c>
      <c r="F372" s="39"/>
      <c r="G372" s="39" t="s">
        <v>75</v>
      </c>
      <c r="H372" s="97">
        <v>1000287</v>
      </c>
      <c r="I372" s="39" t="s">
        <v>30</v>
      </c>
      <c r="J372" s="39" t="s">
        <v>374</v>
      </c>
      <c r="K372" s="97">
        <v>4106</v>
      </c>
      <c r="L372" s="39" t="s">
        <v>282</v>
      </c>
      <c r="M372" s="97"/>
      <c r="N372" s="97">
        <v>371065</v>
      </c>
      <c r="O372" s="67"/>
      <c r="P372" s="50">
        <v>497</v>
      </c>
      <c r="Q372" s="50" t="s">
        <v>34</v>
      </c>
      <c r="R372" s="64">
        <v>12.28</v>
      </c>
      <c r="S372" s="64">
        <f>Table4[[#This Row],[VALUE]]*Table4[[#This Row],[QTD]]</f>
        <v>6103.16</v>
      </c>
    </row>
    <row r="373" spans="1:19" s="4" customFormat="1" ht="15" hidden="1" customHeight="1" x14ac:dyDescent="0.2">
      <c r="A373" s="60">
        <v>424</v>
      </c>
      <c r="B373" s="61">
        <v>45455</v>
      </c>
      <c r="C373" s="99">
        <v>45444</v>
      </c>
      <c r="D373" s="39" t="s">
        <v>41</v>
      </c>
      <c r="E373" s="39" t="s">
        <v>383</v>
      </c>
      <c r="F373" s="39"/>
      <c r="G373" s="39" t="s">
        <v>75</v>
      </c>
      <c r="H373" s="31">
        <v>1000238</v>
      </c>
      <c r="I373" s="39" t="s">
        <v>42</v>
      </c>
      <c r="J373" s="39" t="s">
        <v>375</v>
      </c>
      <c r="K373" s="97"/>
      <c r="L373" s="39" t="s">
        <v>222</v>
      </c>
      <c r="M373" s="97">
        <v>7901</v>
      </c>
      <c r="N373" s="97">
        <v>371094</v>
      </c>
      <c r="O373" s="67"/>
      <c r="P373" s="50">
        <v>1</v>
      </c>
      <c r="Q373" s="50" t="s">
        <v>26</v>
      </c>
      <c r="R373" s="64">
        <v>447.32</v>
      </c>
      <c r="S373" s="64">
        <f>Table4[[#This Row],[VALUE]]*Table4[[#This Row],[QTD]]</f>
        <v>447.32</v>
      </c>
    </row>
    <row r="374" spans="1:19" s="4" customFormat="1" ht="15" hidden="1" customHeight="1" x14ac:dyDescent="0.2">
      <c r="A374" s="60">
        <v>425</v>
      </c>
      <c r="B374" s="61">
        <v>45455</v>
      </c>
      <c r="C374" s="99">
        <v>45444</v>
      </c>
      <c r="D374" s="39" t="s">
        <v>27</v>
      </c>
      <c r="E374" s="39" t="s">
        <v>383</v>
      </c>
      <c r="F374" s="39"/>
      <c r="G374" s="39" t="s">
        <v>75</v>
      </c>
      <c r="H374" s="97">
        <v>1000287</v>
      </c>
      <c r="I374" s="39" t="s">
        <v>30</v>
      </c>
      <c r="J374" s="39" t="s">
        <v>376</v>
      </c>
      <c r="K374" s="97">
        <v>4106</v>
      </c>
      <c r="L374" s="39" t="s">
        <v>282</v>
      </c>
      <c r="M374" s="97"/>
      <c r="N374" s="97">
        <v>371094</v>
      </c>
      <c r="O374" s="67"/>
      <c r="P374" s="50">
        <v>438</v>
      </c>
      <c r="Q374" s="50" t="s">
        <v>34</v>
      </c>
      <c r="R374" s="64">
        <v>12.28</v>
      </c>
      <c r="S374" s="64">
        <f>Table4[[#This Row],[VALUE]]*Table4[[#This Row],[QTD]]</f>
        <v>5378.6399999999994</v>
      </c>
    </row>
    <row r="375" spans="1:19" s="6" customFormat="1" ht="15" hidden="1" customHeight="1" x14ac:dyDescent="0.2">
      <c r="A375" s="60">
        <v>426</v>
      </c>
      <c r="B375" s="61">
        <v>45475</v>
      </c>
      <c r="C375" s="99">
        <v>45474</v>
      </c>
      <c r="D375" s="39" t="s">
        <v>41</v>
      </c>
      <c r="E375" s="39" t="s">
        <v>28</v>
      </c>
      <c r="F375" s="39"/>
      <c r="G375" s="39" t="s">
        <v>75</v>
      </c>
      <c r="H375" s="31">
        <v>1000238</v>
      </c>
      <c r="I375" s="39" t="s">
        <v>42</v>
      </c>
      <c r="J375" s="39" t="s">
        <v>377</v>
      </c>
      <c r="K375" s="97"/>
      <c r="L375" s="39" t="s">
        <v>222</v>
      </c>
      <c r="M375" s="97">
        <v>7901</v>
      </c>
      <c r="N375" s="31">
        <v>371094</v>
      </c>
      <c r="O375" s="39"/>
      <c r="P375" s="50">
        <v>1</v>
      </c>
      <c r="Q375" s="50" t="s">
        <v>26</v>
      </c>
      <c r="R375" s="64">
        <v>181.65</v>
      </c>
      <c r="S375" s="64">
        <f>Table4[[#This Row],[VALUE]]*Table4[[#This Row],[QTD]]</f>
        <v>181.65</v>
      </c>
    </row>
    <row r="376" spans="1:19" s="4" customFormat="1" ht="15" hidden="1" customHeight="1" x14ac:dyDescent="0.2">
      <c r="A376" s="60">
        <v>427</v>
      </c>
      <c r="B376" s="61">
        <v>45475</v>
      </c>
      <c r="C376" s="99">
        <v>45474</v>
      </c>
      <c r="D376" s="39" t="s">
        <v>27</v>
      </c>
      <c r="E376" s="39" t="s">
        <v>28</v>
      </c>
      <c r="F376" s="39"/>
      <c r="G376" s="39" t="s">
        <v>75</v>
      </c>
      <c r="H376" s="97">
        <v>1000287</v>
      </c>
      <c r="I376" s="39" t="s">
        <v>30</v>
      </c>
      <c r="J376" s="39" t="s">
        <v>378</v>
      </c>
      <c r="K376" s="97">
        <v>4029</v>
      </c>
      <c r="L376" s="39" t="s">
        <v>372</v>
      </c>
      <c r="M376" s="97"/>
      <c r="N376" s="31">
        <v>371094</v>
      </c>
      <c r="O376" s="39"/>
      <c r="P376" s="50">
        <v>274</v>
      </c>
      <c r="Q376" s="50" t="s">
        <v>34</v>
      </c>
      <c r="R376" s="64">
        <v>12.28</v>
      </c>
      <c r="S376" s="64">
        <f>Table4[[#This Row],[VALUE]]*Table4[[#This Row],[QTD]]</f>
        <v>3364.72</v>
      </c>
    </row>
    <row r="377" spans="1:19" s="4" customFormat="1" ht="15" hidden="1" customHeight="1" x14ac:dyDescent="0.2">
      <c r="A377" s="60">
        <v>428</v>
      </c>
      <c r="B377" s="61">
        <v>45475</v>
      </c>
      <c r="C377" s="99">
        <v>45474</v>
      </c>
      <c r="D377" s="39" t="s">
        <v>41</v>
      </c>
      <c r="E377" s="39" t="s">
        <v>28</v>
      </c>
      <c r="F377" s="39"/>
      <c r="G377" s="39" t="s">
        <v>75</v>
      </c>
      <c r="H377" s="97">
        <v>1000287</v>
      </c>
      <c r="I377" s="39" t="s">
        <v>42</v>
      </c>
      <c r="J377" s="39" t="s">
        <v>377</v>
      </c>
      <c r="K377" s="97"/>
      <c r="L377" s="39" t="s">
        <v>222</v>
      </c>
      <c r="M377" s="97">
        <v>7901</v>
      </c>
      <c r="N377" s="31">
        <v>371094</v>
      </c>
      <c r="O377" s="39"/>
      <c r="P377" s="50">
        <v>1</v>
      </c>
      <c r="Q377" s="50" t="s">
        <v>26</v>
      </c>
      <c r="R377" s="64">
        <v>146.84</v>
      </c>
      <c r="S377" s="64">
        <f>Table4[[#This Row],[VALUE]]*Table4[[#This Row],[QTD]]</f>
        <v>146.84</v>
      </c>
    </row>
    <row r="378" spans="1:19" s="4" customFormat="1" ht="15" hidden="1" customHeight="1" x14ac:dyDescent="0.2">
      <c r="A378" s="60">
        <v>429</v>
      </c>
      <c r="B378" s="61">
        <v>45475</v>
      </c>
      <c r="C378" s="99">
        <v>45474</v>
      </c>
      <c r="D378" s="39" t="s">
        <v>27</v>
      </c>
      <c r="E378" s="39" t="s">
        <v>28</v>
      </c>
      <c r="F378" s="39"/>
      <c r="G378" s="39" t="s">
        <v>75</v>
      </c>
      <c r="H378" s="97">
        <v>1000287</v>
      </c>
      <c r="I378" s="39" t="s">
        <v>30</v>
      </c>
      <c r="J378" s="39" t="s">
        <v>378</v>
      </c>
      <c r="K378" s="97">
        <v>4029</v>
      </c>
      <c r="L378" s="39" t="s">
        <v>372</v>
      </c>
      <c r="M378" s="97"/>
      <c r="N378" s="97">
        <v>371094</v>
      </c>
      <c r="O378" s="39"/>
      <c r="P378" s="50">
        <v>273</v>
      </c>
      <c r="Q378" s="50" t="s">
        <v>34</v>
      </c>
      <c r="R378" s="64">
        <v>12.28</v>
      </c>
      <c r="S378" s="64">
        <f>Table4[[#This Row],[VALUE]]*Table4[[#This Row],[QTD]]</f>
        <v>3352.4399999999996</v>
      </c>
    </row>
    <row r="379" spans="1:19" s="4" customFormat="1" ht="15" hidden="1" customHeight="1" x14ac:dyDescent="0.2">
      <c r="A379" s="60">
        <v>430</v>
      </c>
      <c r="B379" s="61">
        <v>45476</v>
      </c>
      <c r="C379" s="99">
        <v>45474</v>
      </c>
      <c r="D379" s="39" t="s">
        <v>41</v>
      </c>
      <c r="E379" s="39" t="s">
        <v>74</v>
      </c>
      <c r="F379" s="39"/>
      <c r="G379" s="39" t="s">
        <v>75</v>
      </c>
      <c r="H379" s="31">
        <v>1000238</v>
      </c>
      <c r="I379" s="39" t="s">
        <v>42</v>
      </c>
      <c r="J379" s="39" t="s">
        <v>379</v>
      </c>
      <c r="K379" s="97"/>
      <c r="L379" s="39" t="s">
        <v>222</v>
      </c>
      <c r="M379" s="97">
        <v>7901</v>
      </c>
      <c r="N379" s="97">
        <v>371045</v>
      </c>
      <c r="O379" s="39"/>
      <c r="P379" s="50">
        <v>1</v>
      </c>
      <c r="Q379" s="50" t="s">
        <v>26</v>
      </c>
      <c r="R379" s="64">
        <v>290.75</v>
      </c>
      <c r="S379" s="64">
        <f>Table4[[#This Row],[VALUE]]*Table4[[#This Row],[QTD]]</f>
        <v>290.75</v>
      </c>
    </row>
    <row r="380" spans="1:19" s="4" customFormat="1" ht="15" hidden="1" customHeight="1" x14ac:dyDescent="0.2">
      <c r="A380" s="60">
        <v>431</v>
      </c>
      <c r="B380" s="61">
        <v>45476</v>
      </c>
      <c r="C380" s="99">
        <v>45474</v>
      </c>
      <c r="D380" s="39" t="s">
        <v>27</v>
      </c>
      <c r="E380" s="39" t="s">
        <v>74</v>
      </c>
      <c r="F380" s="39"/>
      <c r="G380" s="39" t="s">
        <v>75</v>
      </c>
      <c r="H380" s="97">
        <v>1000287</v>
      </c>
      <c r="I380" s="39" t="s">
        <v>30</v>
      </c>
      <c r="J380" s="39" t="s">
        <v>380</v>
      </c>
      <c r="K380" s="97">
        <v>4016</v>
      </c>
      <c r="L380" s="39" t="s">
        <v>63</v>
      </c>
      <c r="M380" s="97"/>
      <c r="N380" s="97">
        <v>371045</v>
      </c>
      <c r="O380" s="39"/>
      <c r="P380" s="50">
        <v>366</v>
      </c>
      <c r="Q380" s="50" t="s">
        <v>34</v>
      </c>
      <c r="R380" s="64">
        <v>12.28</v>
      </c>
      <c r="S380" s="64">
        <f>Table4[[#This Row],[VALUE]]*Table4[[#This Row],[QTD]]</f>
        <v>4494.4799999999996</v>
      </c>
    </row>
    <row r="381" spans="1:19" s="4" customFormat="1" ht="15" hidden="1" customHeight="1" x14ac:dyDescent="0.2">
      <c r="A381" s="60">
        <v>432</v>
      </c>
      <c r="B381" s="61">
        <v>45476</v>
      </c>
      <c r="C381" s="99">
        <v>45474</v>
      </c>
      <c r="D381" s="39" t="s">
        <v>41</v>
      </c>
      <c r="E381" s="39" t="s">
        <v>383</v>
      </c>
      <c r="F381" s="39"/>
      <c r="G381" s="39" t="s">
        <v>75</v>
      </c>
      <c r="H381" s="31">
        <v>1000238</v>
      </c>
      <c r="I381" s="39" t="s">
        <v>42</v>
      </c>
      <c r="J381" s="39" t="s">
        <v>381</v>
      </c>
      <c r="K381" s="97"/>
      <c r="L381" s="39" t="s">
        <v>222</v>
      </c>
      <c r="M381" s="97">
        <v>7901</v>
      </c>
      <c r="N381" s="97">
        <v>371065</v>
      </c>
      <c r="O381" s="39"/>
      <c r="P381" s="50">
        <v>1</v>
      </c>
      <c r="Q381" s="50" t="s">
        <v>26</v>
      </c>
      <c r="R381" s="64">
        <v>749.69</v>
      </c>
      <c r="S381" s="64">
        <f>Table4[[#This Row],[VALUE]]*Table4[[#This Row],[QTD]]</f>
        <v>749.69</v>
      </c>
    </row>
    <row r="382" spans="1:19" s="4" customFormat="1" ht="15" hidden="1" customHeight="1" x14ac:dyDescent="0.2">
      <c r="A382" s="60">
        <v>433</v>
      </c>
      <c r="B382" s="61">
        <v>45476</v>
      </c>
      <c r="C382" s="99">
        <v>45474</v>
      </c>
      <c r="D382" s="39" t="s">
        <v>27</v>
      </c>
      <c r="E382" s="39" t="s">
        <v>383</v>
      </c>
      <c r="F382" s="39"/>
      <c r="G382" s="39" t="s">
        <v>75</v>
      </c>
      <c r="H382" s="97">
        <v>1000287</v>
      </c>
      <c r="I382" s="39" t="s">
        <v>30</v>
      </c>
      <c r="J382" s="39" t="s">
        <v>382</v>
      </c>
      <c r="K382" s="97">
        <v>4070</v>
      </c>
      <c r="L382" s="39" t="s">
        <v>119</v>
      </c>
      <c r="M382" s="97"/>
      <c r="N382" s="97">
        <v>371065</v>
      </c>
      <c r="O382" s="39"/>
      <c r="P382" s="50">
        <v>687</v>
      </c>
      <c r="Q382" s="50" t="s">
        <v>34</v>
      </c>
      <c r="R382" s="64">
        <v>12.28</v>
      </c>
      <c r="S382" s="64">
        <f>Table4[[#This Row],[VALUE]]*Table4[[#This Row],[QTD]]</f>
        <v>8436.3599999999988</v>
      </c>
    </row>
    <row r="383" spans="1:19" s="4" customFormat="1" ht="15" hidden="1" customHeight="1" x14ac:dyDescent="0.2">
      <c r="A383" s="60">
        <v>434</v>
      </c>
      <c r="B383" s="61">
        <v>45476</v>
      </c>
      <c r="C383" s="99">
        <v>45474</v>
      </c>
      <c r="D383" s="39" t="s">
        <v>41</v>
      </c>
      <c r="E383" s="39" t="s">
        <v>383</v>
      </c>
      <c r="F383" s="39"/>
      <c r="G383" s="39" t="s">
        <v>75</v>
      </c>
      <c r="H383" s="31">
        <v>1000238</v>
      </c>
      <c r="I383" s="39" t="s">
        <v>42</v>
      </c>
      <c r="J383" s="39" t="s">
        <v>381</v>
      </c>
      <c r="K383" s="97"/>
      <c r="L383" s="39" t="s">
        <v>222</v>
      </c>
      <c r="M383" s="97">
        <v>7901</v>
      </c>
      <c r="N383" s="97">
        <v>371065</v>
      </c>
      <c r="O383" s="39"/>
      <c r="P383" s="50">
        <v>1</v>
      </c>
      <c r="Q383" s="50" t="s">
        <v>26</v>
      </c>
      <c r="R383" s="64">
        <v>1050.29</v>
      </c>
      <c r="S383" s="64">
        <f>Table4[[#This Row],[VALUE]]*Table4[[#This Row],[QTD]]</f>
        <v>1050.29</v>
      </c>
    </row>
    <row r="384" spans="1:19" s="4" customFormat="1" ht="15" hidden="1" customHeight="1" x14ac:dyDescent="0.2">
      <c r="A384" s="60">
        <v>435</v>
      </c>
      <c r="B384" s="61">
        <v>45476</v>
      </c>
      <c r="C384" s="99">
        <v>45474</v>
      </c>
      <c r="D384" s="39" t="s">
        <v>27</v>
      </c>
      <c r="E384" s="39" t="s">
        <v>383</v>
      </c>
      <c r="F384" s="39"/>
      <c r="G384" s="39" t="s">
        <v>75</v>
      </c>
      <c r="H384" s="97">
        <v>1000287</v>
      </c>
      <c r="I384" s="39" t="s">
        <v>30</v>
      </c>
      <c r="J384" s="39" t="s">
        <v>382</v>
      </c>
      <c r="K384" s="97">
        <v>4070</v>
      </c>
      <c r="L384" s="39" t="s">
        <v>119</v>
      </c>
      <c r="M384" s="97"/>
      <c r="N384" s="97">
        <v>371065</v>
      </c>
      <c r="O384" s="39"/>
      <c r="P384" s="50">
        <v>827</v>
      </c>
      <c r="Q384" s="50" t="s">
        <v>34</v>
      </c>
      <c r="R384" s="64">
        <v>12.28</v>
      </c>
      <c r="S384" s="64">
        <f>Table4[[#This Row],[VALUE]]*Table4[[#This Row],[QTD]]</f>
        <v>10155.56</v>
      </c>
    </row>
    <row r="385" spans="1:19" s="4" customFormat="1" ht="15" hidden="1" customHeight="1" x14ac:dyDescent="0.2">
      <c r="A385" s="60">
        <v>436</v>
      </c>
      <c r="B385" s="61">
        <v>45476</v>
      </c>
      <c r="C385" s="99">
        <v>45474</v>
      </c>
      <c r="D385" s="39" t="s">
        <v>41</v>
      </c>
      <c r="E385" s="39" t="s">
        <v>383</v>
      </c>
      <c r="F385" s="39"/>
      <c r="G385" s="39" t="s">
        <v>75</v>
      </c>
      <c r="H385" s="31">
        <v>1000238</v>
      </c>
      <c r="I385" s="39" t="s">
        <v>42</v>
      </c>
      <c r="J385" s="39" t="s">
        <v>381</v>
      </c>
      <c r="K385" s="97"/>
      <c r="L385" s="39" t="s">
        <v>222</v>
      </c>
      <c r="M385" s="97">
        <v>7901</v>
      </c>
      <c r="N385" s="97">
        <v>371065</v>
      </c>
      <c r="O385" s="39"/>
      <c r="P385" s="50">
        <v>1</v>
      </c>
      <c r="Q385" s="50" t="s">
        <v>26</v>
      </c>
      <c r="R385" s="64">
        <v>877.08</v>
      </c>
      <c r="S385" s="64">
        <f>Table4[[#This Row],[VALUE]]*Table4[[#This Row],[QTD]]</f>
        <v>877.08</v>
      </c>
    </row>
    <row r="386" spans="1:19" s="4" customFormat="1" ht="15" hidden="1" customHeight="1" x14ac:dyDescent="0.2">
      <c r="A386" s="60">
        <v>437</v>
      </c>
      <c r="B386" s="61">
        <v>45476</v>
      </c>
      <c r="C386" s="99">
        <v>45474</v>
      </c>
      <c r="D386" s="39" t="s">
        <v>27</v>
      </c>
      <c r="E386" s="39" t="s">
        <v>383</v>
      </c>
      <c r="F386" s="39"/>
      <c r="G386" s="39" t="s">
        <v>75</v>
      </c>
      <c r="H386" s="97">
        <v>1000287</v>
      </c>
      <c r="I386" s="39" t="s">
        <v>30</v>
      </c>
      <c r="J386" s="39" t="s">
        <v>382</v>
      </c>
      <c r="K386" s="97">
        <v>4070</v>
      </c>
      <c r="L386" s="39" t="s">
        <v>119</v>
      </c>
      <c r="M386" s="97"/>
      <c r="N386" s="97">
        <v>371065</v>
      </c>
      <c r="O386" s="39"/>
      <c r="P386" s="50">
        <v>808</v>
      </c>
      <c r="Q386" s="50" t="s">
        <v>34</v>
      </c>
      <c r="R386" s="64">
        <v>12.28</v>
      </c>
      <c r="S386" s="64">
        <f>Table4[[#This Row],[VALUE]]*Table4[[#This Row],[QTD]]</f>
        <v>9922.24</v>
      </c>
    </row>
    <row r="387" spans="1:19" s="4" customFormat="1" ht="15" hidden="1" customHeight="1" x14ac:dyDescent="0.2">
      <c r="A387" s="60">
        <v>440</v>
      </c>
      <c r="B387" s="61">
        <v>45477</v>
      </c>
      <c r="C387" s="99">
        <v>45474</v>
      </c>
      <c r="D387" s="39" t="s">
        <v>41</v>
      </c>
      <c r="E387" s="39" t="s">
        <v>74</v>
      </c>
      <c r="F387" s="39"/>
      <c r="G387" s="39" t="s">
        <v>75</v>
      </c>
      <c r="H387" s="31">
        <v>1000238</v>
      </c>
      <c r="I387" s="39" t="s">
        <v>42</v>
      </c>
      <c r="J387" s="39" t="s">
        <v>384</v>
      </c>
      <c r="K387" s="97"/>
      <c r="L387" s="39" t="s">
        <v>222</v>
      </c>
      <c r="M387" s="97">
        <v>7901</v>
      </c>
      <c r="N387" s="97">
        <v>371045</v>
      </c>
      <c r="O387" s="39"/>
      <c r="P387" s="50">
        <v>1</v>
      </c>
      <c r="Q387" s="50" t="s">
        <v>26</v>
      </c>
      <c r="R387" s="64">
        <v>926.03</v>
      </c>
      <c r="S387" s="64">
        <f>Table4[[#This Row],[VALUE]]*Table4[[#This Row],[QTD]]</f>
        <v>926.03</v>
      </c>
    </row>
    <row r="388" spans="1:19" s="4" customFormat="1" ht="15" hidden="1" customHeight="1" x14ac:dyDescent="0.2">
      <c r="A388" s="60">
        <v>441</v>
      </c>
      <c r="B388" s="61">
        <v>45477</v>
      </c>
      <c r="C388" s="99">
        <v>45474</v>
      </c>
      <c r="D388" s="39" t="s">
        <v>27</v>
      </c>
      <c r="E388" s="39" t="s">
        <v>74</v>
      </c>
      <c r="F388" s="39"/>
      <c r="G388" s="39" t="s">
        <v>75</v>
      </c>
      <c r="H388" s="97">
        <v>1000287</v>
      </c>
      <c r="I388" s="39" t="s">
        <v>30</v>
      </c>
      <c r="J388" s="39" t="s">
        <v>385</v>
      </c>
      <c r="K388" s="97"/>
      <c r="L388" s="39" t="s">
        <v>222</v>
      </c>
      <c r="M388" s="97">
        <v>7901</v>
      </c>
      <c r="N388" s="97">
        <v>371045</v>
      </c>
      <c r="O388" s="39"/>
      <c r="P388" s="50">
        <v>836</v>
      </c>
      <c r="Q388" s="50" t="s">
        <v>34</v>
      </c>
      <c r="R388" s="64">
        <v>12.28</v>
      </c>
      <c r="S388" s="64">
        <f>Table4[[#This Row],[VALUE]]*Table4[[#This Row],[QTD]]</f>
        <v>10266.08</v>
      </c>
    </row>
    <row r="389" spans="1:19" s="4" customFormat="1" ht="15" hidden="1" customHeight="1" x14ac:dyDescent="0.2">
      <c r="A389" s="60">
        <v>442</v>
      </c>
      <c r="B389" s="61">
        <v>45477</v>
      </c>
      <c r="C389" s="99">
        <v>45474</v>
      </c>
      <c r="D389" s="39" t="s">
        <v>147</v>
      </c>
      <c r="E389" s="39" t="s">
        <v>74</v>
      </c>
      <c r="F389" s="39"/>
      <c r="G389" s="39" t="s">
        <v>75</v>
      </c>
      <c r="H389" s="97">
        <v>1000238</v>
      </c>
      <c r="I389" s="39" t="s">
        <v>361</v>
      </c>
      <c r="J389" s="39" t="s">
        <v>147</v>
      </c>
      <c r="K389" s="97"/>
      <c r="L389" s="39" t="s">
        <v>222</v>
      </c>
      <c r="M389" s="97">
        <v>7901</v>
      </c>
      <c r="N389" s="97">
        <v>371045</v>
      </c>
      <c r="O389" s="39"/>
      <c r="P389" s="50">
        <v>1</v>
      </c>
      <c r="Q389" s="50" t="s">
        <v>26</v>
      </c>
      <c r="R389" s="64">
        <v>1698.11</v>
      </c>
      <c r="S389" s="64">
        <f>Table4[[#This Row],[VALUE]]*Table4[[#This Row],[QTD]]</f>
        <v>1698.11</v>
      </c>
    </row>
    <row r="390" spans="1:19" s="26" customFormat="1" ht="15" hidden="1" customHeight="1" x14ac:dyDescent="0.2">
      <c r="A390" s="60">
        <v>443</v>
      </c>
      <c r="B390" s="61">
        <v>45457</v>
      </c>
      <c r="C390" s="99">
        <v>45444</v>
      </c>
      <c r="D390" s="39" t="s">
        <v>41</v>
      </c>
      <c r="E390" s="39" t="s">
        <v>74</v>
      </c>
      <c r="F390" s="39"/>
      <c r="G390" s="39" t="s">
        <v>388</v>
      </c>
      <c r="H390" s="31">
        <v>1000238</v>
      </c>
      <c r="I390" s="39" t="s">
        <v>42</v>
      </c>
      <c r="J390" s="39" t="s">
        <v>389</v>
      </c>
      <c r="K390" s="97"/>
      <c r="L390" s="39" t="s">
        <v>222</v>
      </c>
      <c r="M390" s="97">
        <v>7901</v>
      </c>
      <c r="N390" s="97">
        <v>371045</v>
      </c>
      <c r="O390" s="39"/>
      <c r="P390" s="50">
        <v>1</v>
      </c>
      <c r="Q390" s="50" t="s">
        <v>26</v>
      </c>
      <c r="R390" s="64">
        <v>643.20000000000005</v>
      </c>
      <c r="S390" s="64">
        <f>Table4[[#This Row],[VALUE]]*Table4[[#This Row],[QTD]]</f>
        <v>643.20000000000005</v>
      </c>
    </row>
    <row r="391" spans="1:19" s="5" customFormat="1" ht="15" hidden="1" customHeight="1" x14ac:dyDescent="0.2">
      <c r="A391" s="60">
        <v>444</v>
      </c>
      <c r="B391" s="61">
        <v>45457</v>
      </c>
      <c r="C391" s="99">
        <v>45444</v>
      </c>
      <c r="D391" s="39" t="s">
        <v>27</v>
      </c>
      <c r="E391" s="39" t="s">
        <v>74</v>
      </c>
      <c r="F391" s="39"/>
      <c r="G391" s="39" t="s">
        <v>388</v>
      </c>
      <c r="H391" s="97">
        <v>1000287</v>
      </c>
      <c r="I391" s="39" t="s">
        <v>30</v>
      </c>
      <c r="J391" s="39" t="s">
        <v>390</v>
      </c>
      <c r="K391" s="97">
        <v>7068</v>
      </c>
      <c r="L391" s="39" t="s">
        <v>249</v>
      </c>
      <c r="M391" s="97"/>
      <c r="N391" s="97">
        <v>371045</v>
      </c>
      <c r="O391" s="39"/>
      <c r="P391" s="50">
        <v>921</v>
      </c>
      <c r="Q391" s="50" t="s">
        <v>34</v>
      </c>
      <c r="R391" s="64">
        <v>12</v>
      </c>
      <c r="S391" s="64">
        <f>Table4[[#This Row],[VALUE]]*Table4[[#This Row],[QTD]]</f>
        <v>11052</v>
      </c>
    </row>
    <row r="392" spans="1:19" s="5" customFormat="1" ht="15" hidden="1" customHeight="1" x14ac:dyDescent="0.2">
      <c r="A392" s="60">
        <v>445</v>
      </c>
      <c r="B392" s="61">
        <v>45458</v>
      </c>
      <c r="C392" s="99">
        <v>45444</v>
      </c>
      <c r="D392" s="39" t="s">
        <v>41</v>
      </c>
      <c r="E392" s="39" t="s">
        <v>74</v>
      </c>
      <c r="F392" s="39"/>
      <c r="G392" s="39" t="s">
        <v>388</v>
      </c>
      <c r="H392" s="31">
        <v>1000238</v>
      </c>
      <c r="I392" s="39" t="s">
        <v>42</v>
      </c>
      <c r="J392" s="39" t="s">
        <v>389</v>
      </c>
      <c r="K392" s="97"/>
      <c r="L392" s="39" t="s">
        <v>222</v>
      </c>
      <c r="M392" s="97">
        <v>7901</v>
      </c>
      <c r="N392" s="97">
        <v>371045</v>
      </c>
      <c r="O392" s="39"/>
      <c r="P392" s="50">
        <v>1</v>
      </c>
      <c r="Q392" s="50" t="s">
        <v>26</v>
      </c>
      <c r="R392" s="64">
        <v>687.6</v>
      </c>
      <c r="S392" s="64">
        <f>Table4[[#This Row],[VALUE]]*Table4[[#This Row],[QTD]]</f>
        <v>687.6</v>
      </c>
    </row>
    <row r="393" spans="1:19" s="5" customFormat="1" ht="15" hidden="1" customHeight="1" x14ac:dyDescent="0.2">
      <c r="A393" s="60"/>
      <c r="B393" s="61">
        <v>45458</v>
      </c>
      <c r="C393" s="99">
        <v>45444</v>
      </c>
      <c r="D393" s="39" t="s">
        <v>27</v>
      </c>
      <c r="E393" s="39" t="s">
        <v>74</v>
      </c>
      <c r="F393" s="39"/>
      <c r="G393" s="39" t="s">
        <v>388</v>
      </c>
      <c r="H393" s="97">
        <v>1000287</v>
      </c>
      <c r="I393" s="39" t="s">
        <v>30</v>
      </c>
      <c r="J393" s="39" t="s">
        <v>390</v>
      </c>
      <c r="K393" s="97">
        <v>7068</v>
      </c>
      <c r="L393" s="39" t="s">
        <v>249</v>
      </c>
      <c r="M393" s="97"/>
      <c r="N393" s="97">
        <v>371045</v>
      </c>
      <c r="O393" s="62">
        <v>921</v>
      </c>
      <c r="P393" s="50">
        <v>921</v>
      </c>
      <c r="Q393" s="68" t="s">
        <v>34</v>
      </c>
      <c r="R393" s="64">
        <v>12</v>
      </c>
      <c r="S393" s="64">
        <f>Table4[[#This Row],[VALUE]]*Table4[[#This Row],[QTD]]</f>
        <v>11052</v>
      </c>
    </row>
    <row r="394" spans="1:19" s="42" customFormat="1" ht="15" hidden="1" customHeight="1" x14ac:dyDescent="0.25">
      <c r="A394" s="60"/>
      <c r="B394" s="61">
        <v>45457</v>
      </c>
      <c r="C394" s="99">
        <v>45444</v>
      </c>
      <c r="D394" s="39" t="s">
        <v>490</v>
      </c>
      <c r="E394" s="39" t="s">
        <v>74</v>
      </c>
      <c r="F394" s="39"/>
      <c r="G394" s="39" t="s">
        <v>388</v>
      </c>
      <c r="H394" s="97" t="s">
        <v>21</v>
      </c>
      <c r="I394" s="39" t="s">
        <v>490</v>
      </c>
      <c r="J394" s="39" t="s">
        <v>389</v>
      </c>
      <c r="K394" s="97"/>
      <c r="L394" s="39" t="s">
        <v>222</v>
      </c>
      <c r="M394" s="97">
        <v>7901</v>
      </c>
      <c r="N394" s="97">
        <v>371045</v>
      </c>
      <c r="O394" s="39"/>
      <c r="P394" s="50">
        <v>8</v>
      </c>
      <c r="Q394" s="50" t="s">
        <v>26</v>
      </c>
      <c r="R394" s="64">
        <v>200</v>
      </c>
      <c r="S394" s="64">
        <f>Table4[[#This Row],[VALUE]]*Table4[[#This Row],[QTD]]</f>
        <v>1600</v>
      </c>
    </row>
    <row r="395" spans="1:19" s="42" customFormat="1" ht="15" hidden="1" customHeight="1" x14ac:dyDescent="0.25">
      <c r="A395" s="60"/>
      <c r="B395" s="61">
        <v>45457</v>
      </c>
      <c r="C395" s="99">
        <v>45444</v>
      </c>
      <c r="D395" s="39" t="s">
        <v>490</v>
      </c>
      <c r="E395" s="39" t="s">
        <v>74</v>
      </c>
      <c r="F395" s="39"/>
      <c r="G395" s="39" t="s">
        <v>388</v>
      </c>
      <c r="H395" s="97" t="s">
        <v>21</v>
      </c>
      <c r="I395" s="39" t="s">
        <v>490</v>
      </c>
      <c r="J395" s="39" t="s">
        <v>390</v>
      </c>
      <c r="K395" s="97">
        <v>7068</v>
      </c>
      <c r="L395" s="39" t="s">
        <v>249</v>
      </c>
      <c r="M395" s="97"/>
      <c r="N395" s="97">
        <v>371045</v>
      </c>
      <c r="O395" s="39"/>
      <c r="P395" s="50">
        <v>8</v>
      </c>
      <c r="Q395" s="50" t="s">
        <v>26</v>
      </c>
      <c r="R395" s="64">
        <v>200</v>
      </c>
      <c r="S395" s="64">
        <f>Table4[[#This Row],[VALUE]]*Table4[[#This Row],[QTD]]</f>
        <v>1600</v>
      </c>
    </row>
    <row r="396" spans="1:19" s="5" customFormat="1" ht="15" hidden="1" customHeight="1" x14ac:dyDescent="0.2">
      <c r="A396" s="60">
        <v>447</v>
      </c>
      <c r="B396" s="61">
        <v>45484</v>
      </c>
      <c r="C396" s="99">
        <v>45474</v>
      </c>
      <c r="D396" s="39" t="s">
        <v>41</v>
      </c>
      <c r="E396" s="39" t="s">
        <v>383</v>
      </c>
      <c r="F396" s="39"/>
      <c r="G396" s="39" t="s">
        <v>75</v>
      </c>
      <c r="H396" s="31">
        <v>1000238</v>
      </c>
      <c r="I396" s="39" t="s">
        <v>42</v>
      </c>
      <c r="J396" s="39" t="s">
        <v>394</v>
      </c>
      <c r="K396" s="97"/>
      <c r="L396" s="39" t="s">
        <v>222</v>
      </c>
      <c r="M396" s="97">
        <v>7901</v>
      </c>
      <c r="N396" s="97">
        <v>371065</v>
      </c>
      <c r="O396" s="39"/>
      <c r="P396" s="50">
        <v>1</v>
      </c>
      <c r="Q396" s="50" t="s">
        <v>26</v>
      </c>
      <c r="R396" s="64">
        <v>648.83000000000004</v>
      </c>
      <c r="S396" s="64">
        <f>Table4[[#This Row],[VALUE]]*Table4[[#This Row],[QTD]]</f>
        <v>648.83000000000004</v>
      </c>
    </row>
    <row r="397" spans="1:19" s="5" customFormat="1" ht="15" hidden="1" customHeight="1" x14ac:dyDescent="0.2">
      <c r="A397" s="60">
        <v>448</v>
      </c>
      <c r="B397" s="61">
        <v>45484</v>
      </c>
      <c r="C397" s="99">
        <v>45474</v>
      </c>
      <c r="D397" s="39" t="s">
        <v>27</v>
      </c>
      <c r="E397" s="39" t="s">
        <v>383</v>
      </c>
      <c r="F397" s="39"/>
      <c r="G397" s="39" t="s">
        <v>75</v>
      </c>
      <c r="H397" s="97">
        <v>1000287</v>
      </c>
      <c r="I397" s="39" t="s">
        <v>30</v>
      </c>
      <c r="J397" s="39" t="s">
        <v>395</v>
      </c>
      <c r="K397" s="97">
        <v>7019</v>
      </c>
      <c r="L397" s="39" t="s">
        <v>355</v>
      </c>
      <c r="M397" s="97"/>
      <c r="N397" s="97">
        <v>371065</v>
      </c>
      <c r="O397" s="39"/>
      <c r="P397" s="50">
        <v>471</v>
      </c>
      <c r="Q397" s="50" t="s">
        <v>34</v>
      </c>
      <c r="R397" s="64">
        <v>12.28</v>
      </c>
      <c r="S397" s="64">
        <f>Table4[[#This Row],[VALUE]]*Table4[[#This Row],[QTD]]</f>
        <v>5783.88</v>
      </c>
    </row>
    <row r="398" spans="1:19" s="5" customFormat="1" ht="15" hidden="1" customHeight="1" x14ac:dyDescent="0.2">
      <c r="A398" s="60">
        <v>449</v>
      </c>
      <c r="B398" s="61">
        <v>45484</v>
      </c>
      <c r="C398" s="99">
        <v>45474</v>
      </c>
      <c r="D398" s="39" t="s">
        <v>41</v>
      </c>
      <c r="E398" s="39" t="s">
        <v>383</v>
      </c>
      <c r="F398" s="39"/>
      <c r="G398" s="39" t="s">
        <v>75</v>
      </c>
      <c r="H398" s="31">
        <v>1000238</v>
      </c>
      <c r="I398" s="39" t="s">
        <v>42</v>
      </c>
      <c r="J398" s="39" t="s">
        <v>394</v>
      </c>
      <c r="K398" s="97"/>
      <c r="L398" s="39" t="s">
        <v>222</v>
      </c>
      <c r="M398" s="97">
        <v>7901</v>
      </c>
      <c r="N398" s="97">
        <v>371065</v>
      </c>
      <c r="O398" s="39"/>
      <c r="P398" s="50">
        <v>1</v>
      </c>
      <c r="Q398" s="50" t="s">
        <v>26</v>
      </c>
      <c r="R398" s="64">
        <v>540.67999999999995</v>
      </c>
      <c r="S398" s="64">
        <f>Table4[[#This Row],[VALUE]]*Table4[[#This Row],[QTD]]</f>
        <v>540.67999999999995</v>
      </c>
    </row>
    <row r="399" spans="1:19" s="5" customFormat="1" ht="15" hidden="1" customHeight="1" x14ac:dyDescent="0.2">
      <c r="A399" s="60">
        <v>450</v>
      </c>
      <c r="B399" s="61">
        <v>45484</v>
      </c>
      <c r="C399" s="99">
        <v>45474</v>
      </c>
      <c r="D399" s="39" t="s">
        <v>27</v>
      </c>
      <c r="E399" s="39" t="s">
        <v>383</v>
      </c>
      <c r="F399" s="39"/>
      <c r="G399" s="39" t="s">
        <v>75</v>
      </c>
      <c r="H399" s="97">
        <v>1000287</v>
      </c>
      <c r="I399" s="39" t="s">
        <v>30</v>
      </c>
      <c r="J399" s="39" t="s">
        <v>395</v>
      </c>
      <c r="K399" s="97">
        <v>7019</v>
      </c>
      <c r="L399" s="39" t="s">
        <v>355</v>
      </c>
      <c r="M399" s="97"/>
      <c r="N399" s="97">
        <v>371065</v>
      </c>
      <c r="O399" s="39"/>
      <c r="P399" s="50">
        <v>460</v>
      </c>
      <c r="Q399" s="50" t="s">
        <v>34</v>
      </c>
      <c r="R399" s="64">
        <v>12.28</v>
      </c>
      <c r="S399" s="64">
        <f>Table4[[#This Row],[VALUE]]*Table4[[#This Row],[QTD]]</f>
        <v>5648.7999999999993</v>
      </c>
    </row>
    <row r="400" spans="1:19" s="5" customFormat="1" ht="15" hidden="1" customHeight="1" x14ac:dyDescent="0.2">
      <c r="A400" s="60">
        <v>451</v>
      </c>
      <c r="B400" s="61">
        <v>45484</v>
      </c>
      <c r="C400" s="99">
        <v>45474</v>
      </c>
      <c r="D400" s="39" t="s">
        <v>41</v>
      </c>
      <c r="E400" s="39" t="s">
        <v>74</v>
      </c>
      <c r="F400" s="39"/>
      <c r="G400" s="39" t="s">
        <v>75</v>
      </c>
      <c r="H400" s="31">
        <v>1000238</v>
      </c>
      <c r="I400" s="39" t="s">
        <v>42</v>
      </c>
      <c r="J400" s="39" t="s">
        <v>396</v>
      </c>
      <c r="K400" s="97"/>
      <c r="L400" s="39" t="s">
        <v>222</v>
      </c>
      <c r="M400" s="97">
        <v>7901</v>
      </c>
      <c r="N400" s="97">
        <v>371045</v>
      </c>
      <c r="O400" s="39"/>
      <c r="P400" s="50">
        <v>1</v>
      </c>
      <c r="Q400" s="50" t="s">
        <v>26</v>
      </c>
      <c r="R400" s="64">
        <v>268.43</v>
      </c>
      <c r="S400" s="64">
        <f>Table4[[#This Row],[VALUE]]*Table4[[#This Row],[QTD]]</f>
        <v>268.43</v>
      </c>
    </row>
    <row r="401" spans="1:19" s="5" customFormat="1" ht="15" hidden="1" customHeight="1" x14ac:dyDescent="0.2">
      <c r="A401" s="60">
        <v>452</v>
      </c>
      <c r="B401" s="61">
        <v>45484</v>
      </c>
      <c r="C401" s="99">
        <v>45474</v>
      </c>
      <c r="D401" s="39" t="s">
        <v>27</v>
      </c>
      <c r="E401" s="39" t="s">
        <v>74</v>
      </c>
      <c r="F401" s="39"/>
      <c r="G401" s="39" t="s">
        <v>75</v>
      </c>
      <c r="H401" s="97">
        <v>1000287</v>
      </c>
      <c r="I401" s="39" t="s">
        <v>30</v>
      </c>
      <c r="J401" s="39" t="s">
        <v>397</v>
      </c>
      <c r="K401" s="97">
        <v>571</v>
      </c>
      <c r="L401" s="39" t="s">
        <v>138</v>
      </c>
      <c r="M401" s="97"/>
      <c r="N401" s="97">
        <v>371045</v>
      </c>
      <c r="O401" s="39"/>
      <c r="P401" s="50">
        <v>281</v>
      </c>
      <c r="Q401" s="50" t="s">
        <v>34</v>
      </c>
      <c r="R401" s="64">
        <v>12.28</v>
      </c>
      <c r="S401" s="64">
        <f>Table4[[#This Row],[VALUE]]*Table4[[#This Row],[QTD]]</f>
        <v>3450.68</v>
      </c>
    </row>
    <row r="402" spans="1:19" s="5" customFormat="1" ht="15" hidden="1" customHeight="1" x14ac:dyDescent="0.2">
      <c r="A402" s="60">
        <v>453</v>
      </c>
      <c r="B402" s="61">
        <v>45484</v>
      </c>
      <c r="C402" s="99">
        <v>45474</v>
      </c>
      <c r="D402" s="39" t="s">
        <v>41</v>
      </c>
      <c r="E402" s="39" t="s">
        <v>383</v>
      </c>
      <c r="F402" s="39"/>
      <c r="G402" s="39" t="s">
        <v>75</v>
      </c>
      <c r="H402" s="31">
        <v>1000238</v>
      </c>
      <c r="I402" s="39" t="s">
        <v>42</v>
      </c>
      <c r="J402" s="39" t="s">
        <v>394</v>
      </c>
      <c r="K402" s="97"/>
      <c r="L402" s="39" t="s">
        <v>222</v>
      </c>
      <c r="M402" s="97">
        <v>7901</v>
      </c>
      <c r="N402" s="97">
        <v>371065</v>
      </c>
      <c r="O402" s="39"/>
      <c r="P402" s="50">
        <v>1</v>
      </c>
      <c r="Q402" s="50" t="s">
        <v>26</v>
      </c>
      <c r="R402" s="69">
        <v>712.48</v>
      </c>
      <c r="S402" s="64">
        <f>Table4[[#This Row],[VALUE]]*Table4[[#This Row],[QTD]]</f>
        <v>712.48</v>
      </c>
    </row>
    <row r="403" spans="1:19" s="4" customFormat="1" ht="15" hidden="1" customHeight="1" x14ac:dyDescent="0.2">
      <c r="A403" s="60">
        <v>454</v>
      </c>
      <c r="B403" s="61">
        <v>45484</v>
      </c>
      <c r="C403" s="99">
        <v>45474</v>
      </c>
      <c r="D403" s="39" t="s">
        <v>27</v>
      </c>
      <c r="E403" s="39" t="s">
        <v>383</v>
      </c>
      <c r="F403" s="39"/>
      <c r="G403" s="39" t="s">
        <v>75</v>
      </c>
      <c r="H403" s="97">
        <v>1000287</v>
      </c>
      <c r="I403" s="39" t="s">
        <v>30</v>
      </c>
      <c r="J403" s="34" t="s">
        <v>395</v>
      </c>
      <c r="K403" s="31">
        <v>7019</v>
      </c>
      <c r="L403" s="34" t="s">
        <v>355</v>
      </c>
      <c r="M403" s="31"/>
      <c r="N403" s="97">
        <v>371065</v>
      </c>
      <c r="O403" s="34"/>
      <c r="P403" s="31">
        <v>612</v>
      </c>
      <c r="Q403" s="50" t="s">
        <v>34</v>
      </c>
      <c r="R403" s="69">
        <v>12.28</v>
      </c>
      <c r="S403" s="64">
        <f>Table4[[#This Row],[VALUE]]*Table4[[#This Row],[QTD]]</f>
        <v>7515.36</v>
      </c>
    </row>
    <row r="404" spans="1:19" s="4" customFormat="1" ht="15" hidden="1" customHeight="1" x14ac:dyDescent="0.2">
      <c r="A404" s="60">
        <v>455</v>
      </c>
      <c r="B404" s="61">
        <v>45486</v>
      </c>
      <c r="C404" s="55">
        <v>45474</v>
      </c>
      <c r="D404" s="39" t="s">
        <v>41</v>
      </c>
      <c r="E404" s="39" t="s">
        <v>383</v>
      </c>
      <c r="F404" s="39"/>
      <c r="G404" s="39" t="s">
        <v>75</v>
      </c>
      <c r="H404" s="31">
        <v>1000238</v>
      </c>
      <c r="I404" s="39" t="s">
        <v>42</v>
      </c>
      <c r="J404" s="34" t="s">
        <v>398</v>
      </c>
      <c r="K404" s="31"/>
      <c r="L404" s="39" t="s">
        <v>222</v>
      </c>
      <c r="M404" s="97">
        <v>7901</v>
      </c>
      <c r="N404" s="97">
        <v>371065</v>
      </c>
      <c r="O404" s="34"/>
      <c r="P404" s="50">
        <v>1</v>
      </c>
      <c r="Q404" s="50" t="s">
        <v>26</v>
      </c>
      <c r="R404" s="70">
        <v>202.6</v>
      </c>
      <c r="S404" s="64">
        <f>Table4[[#This Row],[VALUE]]*Table4[[#This Row],[QTD]]</f>
        <v>202.6</v>
      </c>
    </row>
    <row r="405" spans="1:19" s="4" customFormat="1" ht="15" hidden="1" customHeight="1" x14ac:dyDescent="0.2">
      <c r="A405" s="60">
        <v>456</v>
      </c>
      <c r="B405" s="61">
        <v>45486</v>
      </c>
      <c r="C405" s="55">
        <v>45475</v>
      </c>
      <c r="D405" s="39" t="s">
        <v>27</v>
      </c>
      <c r="E405" s="39" t="s">
        <v>383</v>
      </c>
      <c r="F405" s="39"/>
      <c r="G405" s="39" t="s">
        <v>75</v>
      </c>
      <c r="H405" s="97">
        <v>1000287</v>
      </c>
      <c r="I405" s="39" t="s">
        <v>30</v>
      </c>
      <c r="J405" s="34" t="s">
        <v>399</v>
      </c>
      <c r="K405" s="31">
        <v>7901</v>
      </c>
      <c r="L405" s="39" t="s">
        <v>222</v>
      </c>
      <c r="M405" s="31"/>
      <c r="N405" s="97">
        <v>371065</v>
      </c>
      <c r="O405" s="34"/>
      <c r="P405" s="31">
        <v>250</v>
      </c>
      <c r="Q405" s="50" t="s">
        <v>34</v>
      </c>
      <c r="R405" s="69">
        <v>12.28</v>
      </c>
      <c r="S405" s="64">
        <f>Table4[[#This Row],[VALUE]]*Table4[[#This Row],[QTD]]</f>
        <v>3070</v>
      </c>
    </row>
    <row r="406" spans="1:19" s="4" customFormat="1" ht="15" hidden="1" customHeight="1" x14ac:dyDescent="0.2">
      <c r="A406" s="60">
        <v>457</v>
      </c>
      <c r="B406" s="61">
        <v>45486</v>
      </c>
      <c r="C406" s="55">
        <v>45476</v>
      </c>
      <c r="D406" s="39" t="s">
        <v>41</v>
      </c>
      <c r="E406" s="39" t="s">
        <v>383</v>
      </c>
      <c r="F406" s="39"/>
      <c r="G406" s="39" t="s">
        <v>75</v>
      </c>
      <c r="H406" s="31">
        <v>1000238</v>
      </c>
      <c r="I406" s="39" t="s">
        <v>42</v>
      </c>
      <c r="J406" s="34" t="s">
        <v>398</v>
      </c>
      <c r="K406" s="31"/>
      <c r="L406" s="39" t="s">
        <v>222</v>
      </c>
      <c r="M406" s="97">
        <v>7901</v>
      </c>
      <c r="N406" s="97">
        <v>371065</v>
      </c>
      <c r="O406" s="34"/>
      <c r="P406" s="50">
        <v>1</v>
      </c>
      <c r="Q406" s="50" t="s">
        <v>26</v>
      </c>
      <c r="R406" s="70">
        <v>212.3</v>
      </c>
      <c r="S406" s="64">
        <f>Table4[[#This Row],[VALUE]]*Table4[[#This Row],[QTD]]</f>
        <v>212.3</v>
      </c>
    </row>
    <row r="407" spans="1:19" s="4" customFormat="1" ht="15" hidden="1" customHeight="1" x14ac:dyDescent="0.2">
      <c r="A407" s="60">
        <v>458</v>
      </c>
      <c r="B407" s="61">
        <v>45486</v>
      </c>
      <c r="C407" s="55">
        <v>45477</v>
      </c>
      <c r="D407" s="39" t="s">
        <v>27</v>
      </c>
      <c r="E407" s="39" t="s">
        <v>383</v>
      </c>
      <c r="F407" s="39"/>
      <c r="G407" s="39" t="s">
        <v>75</v>
      </c>
      <c r="H407" s="97">
        <v>1000287</v>
      </c>
      <c r="I407" s="39" t="s">
        <v>30</v>
      </c>
      <c r="J407" s="34" t="s">
        <v>399</v>
      </c>
      <c r="K407" s="31">
        <v>7901</v>
      </c>
      <c r="L407" s="39" t="s">
        <v>222</v>
      </c>
      <c r="M407" s="31"/>
      <c r="N407" s="97">
        <v>371065</v>
      </c>
      <c r="O407" s="34"/>
      <c r="P407" s="31">
        <v>250</v>
      </c>
      <c r="Q407" s="50" t="s">
        <v>34</v>
      </c>
      <c r="R407" s="69">
        <v>12.28</v>
      </c>
      <c r="S407" s="64">
        <f>Table4[[#This Row],[VALUE]]*Table4[[#This Row],[QTD]]</f>
        <v>3070</v>
      </c>
    </row>
    <row r="408" spans="1:19" s="4" customFormat="1" ht="15" hidden="1" customHeight="1" x14ac:dyDescent="0.2">
      <c r="A408" s="60">
        <v>459</v>
      </c>
      <c r="B408" s="61">
        <v>45486</v>
      </c>
      <c r="C408" s="55">
        <v>45478</v>
      </c>
      <c r="D408" s="39" t="s">
        <v>41</v>
      </c>
      <c r="E408" s="39" t="s">
        <v>383</v>
      </c>
      <c r="F408" s="39"/>
      <c r="G408" s="39" t="s">
        <v>75</v>
      </c>
      <c r="H408" s="31">
        <v>1000238</v>
      </c>
      <c r="I408" s="39" t="s">
        <v>42</v>
      </c>
      <c r="J408" s="34" t="s">
        <v>398</v>
      </c>
      <c r="K408" s="31"/>
      <c r="L408" s="39" t="s">
        <v>222</v>
      </c>
      <c r="M408" s="97">
        <v>7901</v>
      </c>
      <c r="N408" s="97">
        <v>371065</v>
      </c>
      <c r="O408" s="34"/>
      <c r="P408" s="50">
        <v>1</v>
      </c>
      <c r="Q408" s="50" t="s">
        <v>26</v>
      </c>
      <c r="R408" s="70">
        <v>202.6</v>
      </c>
      <c r="S408" s="64">
        <f>Table4[[#This Row],[VALUE]]*Table4[[#This Row],[QTD]]</f>
        <v>202.6</v>
      </c>
    </row>
    <row r="409" spans="1:19" s="4" customFormat="1" ht="15" hidden="1" customHeight="1" x14ac:dyDescent="0.2">
      <c r="A409" s="60">
        <v>460</v>
      </c>
      <c r="B409" s="61">
        <v>45486</v>
      </c>
      <c r="C409" s="55">
        <v>45479</v>
      </c>
      <c r="D409" s="39" t="s">
        <v>27</v>
      </c>
      <c r="E409" s="39" t="s">
        <v>383</v>
      </c>
      <c r="F409" s="39"/>
      <c r="G409" s="39" t="s">
        <v>75</v>
      </c>
      <c r="H409" s="97">
        <v>1000287</v>
      </c>
      <c r="I409" s="39" t="s">
        <v>30</v>
      </c>
      <c r="J409" s="34" t="s">
        <v>399</v>
      </c>
      <c r="K409" s="31">
        <v>7901</v>
      </c>
      <c r="L409" s="39" t="s">
        <v>222</v>
      </c>
      <c r="M409" s="31"/>
      <c r="N409" s="97">
        <v>371065</v>
      </c>
      <c r="O409" s="34"/>
      <c r="P409" s="31">
        <v>195</v>
      </c>
      <c r="Q409" s="50" t="s">
        <v>34</v>
      </c>
      <c r="R409" s="69">
        <v>12.28</v>
      </c>
      <c r="S409" s="64">
        <f>Table4[[#This Row],[VALUE]]*Table4[[#This Row],[QTD]]</f>
        <v>2394.6</v>
      </c>
    </row>
    <row r="410" spans="1:19" s="4" customFormat="1" ht="15" hidden="1" customHeight="1" x14ac:dyDescent="0.2">
      <c r="A410" s="60">
        <v>461</v>
      </c>
      <c r="B410" s="61">
        <v>45486</v>
      </c>
      <c r="C410" s="55">
        <v>45478</v>
      </c>
      <c r="D410" s="39" t="s">
        <v>41</v>
      </c>
      <c r="E410" s="39" t="s">
        <v>383</v>
      </c>
      <c r="F410" s="39"/>
      <c r="G410" s="39" t="s">
        <v>75</v>
      </c>
      <c r="H410" s="31">
        <v>1000238</v>
      </c>
      <c r="I410" s="39" t="s">
        <v>42</v>
      </c>
      <c r="J410" s="34" t="s">
        <v>400</v>
      </c>
      <c r="K410" s="31"/>
      <c r="L410" s="39" t="s">
        <v>222</v>
      </c>
      <c r="M410" s="97">
        <v>7901</v>
      </c>
      <c r="N410" s="97">
        <v>371065</v>
      </c>
      <c r="O410" s="34"/>
      <c r="P410" s="50">
        <v>1</v>
      </c>
      <c r="Q410" s="50" t="s">
        <v>26</v>
      </c>
      <c r="R410" s="70">
        <v>912.23</v>
      </c>
      <c r="S410" s="64">
        <f>Table4[[#This Row],[VALUE]]*Table4[[#This Row],[QTD]]</f>
        <v>912.23</v>
      </c>
    </row>
    <row r="411" spans="1:19" s="4" customFormat="1" ht="15" hidden="1" customHeight="1" x14ac:dyDescent="0.2">
      <c r="A411" s="60">
        <v>462</v>
      </c>
      <c r="B411" s="61">
        <v>45486</v>
      </c>
      <c r="C411" s="55">
        <v>45479</v>
      </c>
      <c r="D411" s="39" t="s">
        <v>27</v>
      </c>
      <c r="E411" s="39" t="s">
        <v>383</v>
      </c>
      <c r="F411" s="39"/>
      <c r="G411" s="39" t="s">
        <v>75</v>
      </c>
      <c r="H411" s="97">
        <v>1000287</v>
      </c>
      <c r="I411" s="39" t="s">
        <v>30</v>
      </c>
      <c r="J411" s="34" t="s">
        <v>401</v>
      </c>
      <c r="K411" s="31">
        <v>7024</v>
      </c>
      <c r="L411" s="34" t="s">
        <v>406</v>
      </c>
      <c r="M411" s="31"/>
      <c r="N411" s="97">
        <v>371065</v>
      </c>
      <c r="O411" s="34"/>
      <c r="P411" s="31">
        <v>617</v>
      </c>
      <c r="Q411" s="50" t="s">
        <v>34</v>
      </c>
      <c r="R411" s="69">
        <v>12.28</v>
      </c>
      <c r="S411" s="64">
        <f>Table4[[#This Row],[VALUE]]*Table4[[#This Row],[QTD]]</f>
        <v>7576.7599999999993</v>
      </c>
    </row>
    <row r="412" spans="1:19" s="4" customFormat="1" ht="15" hidden="1" customHeight="1" x14ac:dyDescent="0.2">
      <c r="A412" s="60">
        <v>463</v>
      </c>
      <c r="B412" s="61">
        <v>45486</v>
      </c>
      <c r="C412" s="55">
        <v>45474</v>
      </c>
      <c r="D412" s="39" t="s">
        <v>41</v>
      </c>
      <c r="E412" s="39" t="s">
        <v>383</v>
      </c>
      <c r="F412" s="39"/>
      <c r="G412" s="39" t="s">
        <v>75</v>
      </c>
      <c r="H412" s="31">
        <v>1000238</v>
      </c>
      <c r="I412" s="39" t="s">
        <v>42</v>
      </c>
      <c r="J412" s="34" t="s">
        <v>398</v>
      </c>
      <c r="K412" s="31"/>
      <c r="L412" s="39" t="s">
        <v>222</v>
      </c>
      <c r="M412" s="97">
        <v>7901</v>
      </c>
      <c r="N412" s="97">
        <v>371065</v>
      </c>
      <c r="O412" s="34"/>
      <c r="P412" s="50">
        <v>1</v>
      </c>
      <c r="Q412" s="50" t="s">
        <v>26</v>
      </c>
      <c r="R412" s="70">
        <v>158.4</v>
      </c>
      <c r="S412" s="64">
        <f>Table4[[#This Row],[VALUE]]*Table4[[#This Row],[QTD]]</f>
        <v>158.4</v>
      </c>
    </row>
    <row r="413" spans="1:19" s="4" customFormat="1" ht="15" hidden="1" customHeight="1" x14ac:dyDescent="0.2">
      <c r="A413" s="60">
        <v>464</v>
      </c>
      <c r="B413" s="61">
        <v>45486</v>
      </c>
      <c r="C413" s="55">
        <v>45475</v>
      </c>
      <c r="D413" s="39" t="s">
        <v>27</v>
      </c>
      <c r="E413" s="39" t="s">
        <v>383</v>
      </c>
      <c r="F413" s="39"/>
      <c r="G413" s="39" t="s">
        <v>75</v>
      </c>
      <c r="H413" s="97">
        <v>1000287</v>
      </c>
      <c r="I413" s="39" t="s">
        <v>30</v>
      </c>
      <c r="J413" s="34" t="s">
        <v>399</v>
      </c>
      <c r="K413" s="31">
        <v>7901</v>
      </c>
      <c r="L413" s="39" t="s">
        <v>222</v>
      </c>
      <c r="M413" s="31"/>
      <c r="N413" s="97">
        <v>371065</v>
      </c>
      <c r="O413" s="34"/>
      <c r="P413" s="31">
        <v>167</v>
      </c>
      <c r="Q413" s="50" t="s">
        <v>34</v>
      </c>
      <c r="R413" s="69">
        <v>12.28</v>
      </c>
      <c r="S413" s="64">
        <f>Table4[[#This Row],[VALUE]]*Table4[[#This Row],[QTD]]</f>
        <v>2050.7599999999998</v>
      </c>
    </row>
    <row r="414" spans="1:19" s="4" customFormat="1" ht="15" hidden="1" customHeight="1" x14ac:dyDescent="0.2">
      <c r="A414" s="60">
        <v>465</v>
      </c>
      <c r="B414" s="61">
        <v>45486</v>
      </c>
      <c r="C414" s="55">
        <v>45476</v>
      </c>
      <c r="D414" s="39" t="s">
        <v>41</v>
      </c>
      <c r="E414" s="39" t="s">
        <v>383</v>
      </c>
      <c r="F414" s="39"/>
      <c r="G414" s="39" t="s">
        <v>75</v>
      </c>
      <c r="H414" s="31">
        <v>1000238</v>
      </c>
      <c r="I414" s="39" t="s">
        <v>42</v>
      </c>
      <c r="J414" s="34" t="s">
        <v>398</v>
      </c>
      <c r="K414" s="31"/>
      <c r="L414" s="39" t="s">
        <v>222</v>
      </c>
      <c r="M414" s="97">
        <v>7901</v>
      </c>
      <c r="N414" s="97">
        <v>371065</v>
      </c>
      <c r="O414" s="34"/>
      <c r="P414" s="50">
        <v>1</v>
      </c>
      <c r="Q414" s="50" t="s">
        <v>26</v>
      </c>
      <c r="R414" s="69">
        <v>118.9</v>
      </c>
      <c r="S414" s="64">
        <f>Table4[[#This Row],[VALUE]]*Table4[[#This Row],[QTD]]</f>
        <v>118.9</v>
      </c>
    </row>
    <row r="415" spans="1:19" s="4" customFormat="1" ht="15" hidden="1" customHeight="1" x14ac:dyDescent="0.2">
      <c r="A415" s="60">
        <v>466</v>
      </c>
      <c r="B415" s="61">
        <v>45486</v>
      </c>
      <c r="C415" s="55">
        <v>45477</v>
      </c>
      <c r="D415" s="39" t="s">
        <v>27</v>
      </c>
      <c r="E415" s="39" t="s">
        <v>383</v>
      </c>
      <c r="F415" s="39"/>
      <c r="G415" s="39" t="s">
        <v>75</v>
      </c>
      <c r="H415" s="97">
        <v>1000287</v>
      </c>
      <c r="I415" s="39" t="s">
        <v>30</v>
      </c>
      <c r="J415" s="34" t="s">
        <v>399</v>
      </c>
      <c r="K415" s="31">
        <v>7901</v>
      </c>
      <c r="L415" s="39" t="s">
        <v>222</v>
      </c>
      <c r="M415" s="31"/>
      <c r="N415" s="97">
        <v>371065</v>
      </c>
      <c r="O415" s="34"/>
      <c r="P415" s="31">
        <v>195</v>
      </c>
      <c r="Q415" s="50" t="s">
        <v>34</v>
      </c>
      <c r="R415" s="69">
        <v>12.28</v>
      </c>
      <c r="S415" s="64">
        <f>Table4[[#This Row],[VALUE]]*Table4[[#This Row],[QTD]]</f>
        <v>2394.6</v>
      </c>
    </row>
    <row r="416" spans="1:19" s="4" customFormat="1" ht="15" hidden="1" customHeight="1" x14ac:dyDescent="0.2">
      <c r="A416" s="60">
        <v>467</v>
      </c>
      <c r="B416" s="61">
        <v>45487</v>
      </c>
      <c r="C416" s="55">
        <v>45474</v>
      </c>
      <c r="D416" s="39" t="s">
        <v>41</v>
      </c>
      <c r="E416" s="39" t="s">
        <v>383</v>
      </c>
      <c r="F416" s="39"/>
      <c r="G416" s="39" t="s">
        <v>75</v>
      </c>
      <c r="H416" s="31">
        <v>1000238</v>
      </c>
      <c r="I416" s="39" t="s">
        <v>42</v>
      </c>
      <c r="J416" s="34" t="s">
        <v>400</v>
      </c>
      <c r="K416" s="31"/>
      <c r="L416" s="39" t="s">
        <v>222</v>
      </c>
      <c r="M416" s="97">
        <v>7901</v>
      </c>
      <c r="N416" s="97">
        <v>371065</v>
      </c>
      <c r="O416" s="34"/>
      <c r="P416" s="50">
        <v>1</v>
      </c>
      <c r="Q416" s="50" t="s">
        <v>26</v>
      </c>
      <c r="R416" s="70">
        <v>720.68</v>
      </c>
      <c r="S416" s="64">
        <f>Table4[[#This Row],[VALUE]]*Table4[[#This Row],[QTD]]</f>
        <v>720.68</v>
      </c>
    </row>
    <row r="417" spans="1:19" s="4" customFormat="1" ht="15" hidden="1" customHeight="1" x14ac:dyDescent="0.2">
      <c r="A417" s="60">
        <v>468</v>
      </c>
      <c r="B417" s="61">
        <v>45487</v>
      </c>
      <c r="C417" s="55">
        <v>45474</v>
      </c>
      <c r="D417" s="39" t="s">
        <v>27</v>
      </c>
      <c r="E417" s="39" t="s">
        <v>383</v>
      </c>
      <c r="F417" s="39"/>
      <c r="G417" s="39" t="s">
        <v>75</v>
      </c>
      <c r="H417" s="97">
        <v>1000287</v>
      </c>
      <c r="I417" s="39" t="s">
        <v>30</v>
      </c>
      <c r="J417" s="34" t="s">
        <v>401</v>
      </c>
      <c r="K417" s="31">
        <v>7024</v>
      </c>
      <c r="L417" s="34" t="s">
        <v>406</v>
      </c>
      <c r="M417" s="31"/>
      <c r="N417" s="97">
        <v>371065</v>
      </c>
      <c r="O417" s="34"/>
      <c r="P417" s="31">
        <v>603</v>
      </c>
      <c r="Q417" s="50" t="s">
        <v>34</v>
      </c>
      <c r="R417" s="69">
        <v>12.28</v>
      </c>
      <c r="S417" s="64">
        <f>Table4[[#This Row],[VALUE]]*Table4[[#This Row],[QTD]]</f>
        <v>7404.8399999999992</v>
      </c>
    </row>
    <row r="418" spans="1:19" s="4" customFormat="1" ht="15" hidden="1" customHeight="1" x14ac:dyDescent="0.2">
      <c r="A418" s="60">
        <v>469</v>
      </c>
      <c r="B418" s="61">
        <v>45487</v>
      </c>
      <c r="C418" s="55">
        <v>45474</v>
      </c>
      <c r="D418" s="39" t="s">
        <v>41</v>
      </c>
      <c r="E418" s="39" t="s">
        <v>383</v>
      </c>
      <c r="F418" s="39"/>
      <c r="G418" s="39" t="s">
        <v>75</v>
      </c>
      <c r="H418" s="31">
        <v>1000238</v>
      </c>
      <c r="I418" s="39" t="s">
        <v>42</v>
      </c>
      <c r="J418" s="34" t="s">
        <v>402</v>
      </c>
      <c r="K418" s="31"/>
      <c r="L418" s="39" t="s">
        <v>222</v>
      </c>
      <c r="M418" s="97">
        <v>7901</v>
      </c>
      <c r="N418" s="97">
        <v>371065</v>
      </c>
      <c r="O418" s="34"/>
      <c r="P418" s="50">
        <v>1</v>
      </c>
      <c r="Q418" s="50" t="s">
        <v>26</v>
      </c>
      <c r="R418" s="71">
        <v>213.46</v>
      </c>
      <c r="S418" s="64">
        <f>Table4[[#This Row],[VALUE]]*Table4[[#This Row],[QTD]]</f>
        <v>213.46</v>
      </c>
    </row>
    <row r="419" spans="1:19" s="4" customFormat="1" ht="15" hidden="1" customHeight="1" x14ac:dyDescent="0.2">
      <c r="A419" s="60">
        <v>470</v>
      </c>
      <c r="B419" s="61">
        <v>45487</v>
      </c>
      <c r="C419" s="55">
        <v>45474</v>
      </c>
      <c r="D419" s="34" t="s">
        <v>27</v>
      </c>
      <c r="E419" s="39" t="s">
        <v>383</v>
      </c>
      <c r="F419" s="39"/>
      <c r="G419" s="39" t="s">
        <v>75</v>
      </c>
      <c r="H419" s="97">
        <v>1000287</v>
      </c>
      <c r="I419" s="34" t="s">
        <v>30</v>
      </c>
      <c r="J419" s="34" t="s">
        <v>403</v>
      </c>
      <c r="K419" s="31">
        <v>7106</v>
      </c>
      <c r="L419" s="34" t="s">
        <v>405</v>
      </c>
      <c r="M419" s="31"/>
      <c r="N419" s="97">
        <v>371065</v>
      </c>
      <c r="O419" s="34"/>
      <c r="P419" s="31">
        <v>250</v>
      </c>
      <c r="Q419" s="50" t="s">
        <v>34</v>
      </c>
      <c r="R419" s="72">
        <v>12.28</v>
      </c>
      <c r="S419" s="64">
        <f>Table4[[#This Row],[VALUE]]*Table4[[#This Row],[QTD]]</f>
        <v>3070</v>
      </c>
    </row>
    <row r="420" spans="1:19" s="4" customFormat="1" ht="15" hidden="1" customHeight="1" x14ac:dyDescent="0.2">
      <c r="A420" s="60">
        <v>471</v>
      </c>
      <c r="B420" s="61">
        <v>45487</v>
      </c>
      <c r="C420" s="55">
        <v>45474</v>
      </c>
      <c r="D420" s="39" t="s">
        <v>41</v>
      </c>
      <c r="E420" s="39" t="s">
        <v>383</v>
      </c>
      <c r="F420" s="39"/>
      <c r="G420" s="39" t="s">
        <v>75</v>
      </c>
      <c r="H420" s="31">
        <v>1000238</v>
      </c>
      <c r="I420" s="39" t="s">
        <v>42</v>
      </c>
      <c r="J420" s="34" t="s">
        <v>400</v>
      </c>
      <c r="K420" s="31"/>
      <c r="L420" s="39" t="s">
        <v>222</v>
      </c>
      <c r="M420" s="97">
        <v>7901</v>
      </c>
      <c r="N420" s="97">
        <v>371065</v>
      </c>
      <c r="O420" s="34"/>
      <c r="P420" s="50">
        <v>1</v>
      </c>
      <c r="Q420" s="50" t="s">
        <v>26</v>
      </c>
      <c r="R420" s="71">
        <v>961.43</v>
      </c>
      <c r="S420" s="64">
        <f>Table4[[#This Row],[VALUE]]*Table4[[#This Row],[QTD]]</f>
        <v>961.43</v>
      </c>
    </row>
    <row r="421" spans="1:19" s="4" customFormat="1" ht="15" hidden="1" customHeight="1" x14ac:dyDescent="0.2">
      <c r="A421" s="60">
        <v>472</v>
      </c>
      <c r="B421" s="61">
        <v>45487</v>
      </c>
      <c r="C421" s="55">
        <v>45474</v>
      </c>
      <c r="D421" s="34" t="s">
        <v>27</v>
      </c>
      <c r="E421" s="39" t="s">
        <v>383</v>
      </c>
      <c r="F421" s="39"/>
      <c r="G421" s="39" t="s">
        <v>75</v>
      </c>
      <c r="H421" s="97">
        <v>1000287</v>
      </c>
      <c r="I421" s="34" t="s">
        <v>30</v>
      </c>
      <c r="J421" s="34" t="s">
        <v>404</v>
      </c>
      <c r="K421" s="31">
        <v>7024</v>
      </c>
      <c r="L421" s="34" t="s">
        <v>406</v>
      </c>
      <c r="M421" s="31"/>
      <c r="N421" s="97">
        <v>371065</v>
      </c>
      <c r="O421" s="34"/>
      <c r="P421" s="31">
        <v>604</v>
      </c>
      <c r="Q421" s="50" t="s">
        <v>34</v>
      </c>
      <c r="R421" s="72">
        <v>12.28</v>
      </c>
      <c r="S421" s="64">
        <f>Table4[[#This Row],[VALUE]]*Table4[[#This Row],[QTD]]</f>
        <v>7417.12</v>
      </c>
    </row>
    <row r="422" spans="1:19" s="32" customFormat="1" ht="15" hidden="1" customHeight="1" x14ac:dyDescent="0.2">
      <c r="A422" s="60">
        <v>473</v>
      </c>
      <c r="B422" s="46">
        <v>45496</v>
      </c>
      <c r="C422" s="55">
        <v>45505</v>
      </c>
      <c r="D422" s="45" t="s">
        <v>41</v>
      </c>
      <c r="E422" s="45" t="s">
        <v>28</v>
      </c>
      <c r="F422" s="45"/>
      <c r="G422" s="45" t="s">
        <v>29</v>
      </c>
      <c r="H422" s="31">
        <v>1000238</v>
      </c>
      <c r="I422" s="45" t="s">
        <v>42</v>
      </c>
      <c r="J422" s="47" t="s">
        <v>407</v>
      </c>
      <c r="K422" s="31"/>
      <c r="L422" s="47" t="s">
        <v>222</v>
      </c>
      <c r="M422" s="31">
        <v>7901</v>
      </c>
      <c r="N422" s="97">
        <v>371094</v>
      </c>
      <c r="O422" s="34"/>
      <c r="P422" s="50">
        <v>1</v>
      </c>
      <c r="Q422" s="50" t="s">
        <v>26</v>
      </c>
      <c r="R422" s="51">
        <v>221.2</v>
      </c>
      <c r="S422" s="64">
        <f>Table4[[#This Row],[VALUE]]*Table4[[#This Row],[QTD]]</f>
        <v>221.2</v>
      </c>
    </row>
    <row r="423" spans="1:19" s="32" customFormat="1" ht="15" hidden="1" customHeight="1" x14ac:dyDescent="0.2">
      <c r="A423" s="60">
        <v>474</v>
      </c>
      <c r="B423" s="46">
        <v>45496</v>
      </c>
      <c r="C423" s="55">
        <v>45505</v>
      </c>
      <c r="D423" s="47" t="s">
        <v>27</v>
      </c>
      <c r="E423" s="45" t="s">
        <v>28</v>
      </c>
      <c r="F423" s="45"/>
      <c r="G423" s="45" t="s">
        <v>29</v>
      </c>
      <c r="H423" s="97">
        <v>1000287</v>
      </c>
      <c r="I423" s="45" t="s">
        <v>30</v>
      </c>
      <c r="J423" s="47" t="s">
        <v>408</v>
      </c>
      <c r="K423" s="31">
        <v>7002</v>
      </c>
      <c r="L423" s="47" t="s">
        <v>409</v>
      </c>
      <c r="M423" s="31"/>
      <c r="N423" s="97">
        <v>371094</v>
      </c>
      <c r="O423" s="34"/>
      <c r="P423" s="31">
        <v>323.89999999999998</v>
      </c>
      <c r="Q423" s="50" t="s">
        <v>34</v>
      </c>
      <c r="R423" s="51">
        <v>13.69</v>
      </c>
      <c r="S423" s="64">
        <f>Table4[[#This Row],[VALUE]]*Table4[[#This Row],[QTD]]</f>
        <v>4434.1909999999998</v>
      </c>
    </row>
    <row r="424" spans="1:19" s="36" customFormat="1" ht="15" hidden="1" customHeight="1" x14ac:dyDescent="0.2">
      <c r="A424" s="60">
        <v>475</v>
      </c>
      <c r="B424" s="44">
        <v>45489</v>
      </c>
      <c r="C424" s="55">
        <v>45474</v>
      </c>
      <c r="D424" s="73" t="s">
        <v>41</v>
      </c>
      <c r="E424" s="74" t="s">
        <v>52</v>
      </c>
      <c r="F424" s="74"/>
      <c r="G424" s="75" t="s">
        <v>75</v>
      </c>
      <c r="H424" s="31">
        <v>1000238</v>
      </c>
      <c r="I424" s="75" t="s">
        <v>42</v>
      </c>
      <c r="J424" s="73" t="s">
        <v>410</v>
      </c>
      <c r="K424" s="31"/>
      <c r="L424" s="73" t="s">
        <v>222</v>
      </c>
      <c r="M424" s="31">
        <v>7901</v>
      </c>
      <c r="N424" s="97">
        <v>371055</v>
      </c>
      <c r="O424" s="34"/>
      <c r="P424" s="31">
        <v>1</v>
      </c>
      <c r="Q424" s="76" t="s">
        <v>26</v>
      </c>
      <c r="R424" s="77">
        <v>125.64</v>
      </c>
      <c r="S424" s="78">
        <f>Table4[[#This Row],[VALUE]]*Table4[[#This Row],[QTD]]</f>
        <v>125.64</v>
      </c>
    </row>
    <row r="425" spans="1:19" s="36" customFormat="1" ht="15" hidden="1" customHeight="1" x14ac:dyDescent="0.2">
      <c r="A425" s="60">
        <v>476</v>
      </c>
      <c r="B425" s="44">
        <v>45489</v>
      </c>
      <c r="C425" s="55">
        <v>45474</v>
      </c>
      <c r="D425" s="73" t="s">
        <v>27</v>
      </c>
      <c r="E425" s="74" t="s">
        <v>52</v>
      </c>
      <c r="F425" s="74"/>
      <c r="G425" s="75" t="s">
        <v>75</v>
      </c>
      <c r="H425" s="97">
        <v>1000287</v>
      </c>
      <c r="I425" s="75" t="s">
        <v>30</v>
      </c>
      <c r="J425" s="73" t="s">
        <v>411</v>
      </c>
      <c r="K425" s="31">
        <v>7019</v>
      </c>
      <c r="L425" s="73" t="s">
        <v>355</v>
      </c>
      <c r="M425" s="79" t="s">
        <v>478</v>
      </c>
      <c r="N425" s="97">
        <v>371055</v>
      </c>
      <c r="O425" s="34"/>
      <c r="P425" s="31">
        <v>250</v>
      </c>
      <c r="Q425" s="76" t="s">
        <v>34</v>
      </c>
      <c r="R425" s="77">
        <v>12.28</v>
      </c>
      <c r="S425" s="78">
        <f>Table4[[#This Row],[VALUE]]*Table4[[#This Row],[QTD]]</f>
        <v>3070</v>
      </c>
    </row>
    <row r="426" spans="1:19" s="36" customFormat="1" ht="15" hidden="1" customHeight="1" x14ac:dyDescent="0.2">
      <c r="A426" s="60">
        <v>477</v>
      </c>
      <c r="B426" s="44">
        <v>45490</v>
      </c>
      <c r="C426" s="55">
        <v>45474</v>
      </c>
      <c r="D426" s="73" t="s">
        <v>41</v>
      </c>
      <c r="E426" s="74" t="s">
        <v>28</v>
      </c>
      <c r="F426" s="74"/>
      <c r="G426" s="75" t="s">
        <v>75</v>
      </c>
      <c r="H426" s="31">
        <v>1000238</v>
      </c>
      <c r="I426" s="75" t="s">
        <v>42</v>
      </c>
      <c r="J426" s="73" t="s">
        <v>413</v>
      </c>
      <c r="K426" s="31"/>
      <c r="L426" s="73" t="s">
        <v>222</v>
      </c>
      <c r="M426" s="31">
        <v>7901</v>
      </c>
      <c r="N426" s="97">
        <v>371045</v>
      </c>
      <c r="O426" s="34"/>
      <c r="P426" s="31">
        <v>1</v>
      </c>
      <c r="Q426" s="76" t="s">
        <v>26</v>
      </c>
      <c r="R426" s="77">
        <v>114.75</v>
      </c>
      <c r="S426" s="78">
        <f>Table4[[#This Row],[VALUE]]*Table4[[#This Row],[QTD]]</f>
        <v>114.75</v>
      </c>
    </row>
    <row r="427" spans="1:19" s="36" customFormat="1" ht="15" hidden="1" customHeight="1" x14ac:dyDescent="0.2">
      <c r="A427" s="60">
        <v>478</v>
      </c>
      <c r="B427" s="44">
        <v>45490</v>
      </c>
      <c r="C427" s="55">
        <v>45474</v>
      </c>
      <c r="D427" s="73" t="s">
        <v>27</v>
      </c>
      <c r="E427" s="74" t="s">
        <v>28</v>
      </c>
      <c r="F427" s="74"/>
      <c r="G427" s="75" t="s">
        <v>75</v>
      </c>
      <c r="H427" s="97">
        <v>1000287</v>
      </c>
      <c r="I427" s="75" t="s">
        <v>30</v>
      </c>
      <c r="J427" s="73" t="s">
        <v>412</v>
      </c>
      <c r="K427" s="31">
        <v>7064</v>
      </c>
      <c r="L427" s="73" t="s">
        <v>32</v>
      </c>
      <c r="M427" s="79" t="s">
        <v>479</v>
      </c>
      <c r="N427" s="97">
        <v>371045</v>
      </c>
      <c r="O427" s="34"/>
      <c r="P427" s="31">
        <v>150</v>
      </c>
      <c r="Q427" s="76" t="s">
        <v>34</v>
      </c>
      <c r="R427" s="77">
        <v>12.28</v>
      </c>
      <c r="S427" s="78">
        <f>Table4[[#This Row],[VALUE]]*Table4[[#This Row],[QTD]]</f>
        <v>1842</v>
      </c>
    </row>
    <row r="428" spans="1:19" s="36" customFormat="1" ht="15" hidden="1" customHeight="1" x14ac:dyDescent="0.2">
      <c r="A428" s="60">
        <v>479</v>
      </c>
      <c r="B428" s="44">
        <v>45490</v>
      </c>
      <c r="C428" s="55">
        <v>45474</v>
      </c>
      <c r="D428" s="73" t="s">
        <v>41</v>
      </c>
      <c r="E428" s="74" t="s">
        <v>28</v>
      </c>
      <c r="F428" s="74"/>
      <c r="G428" s="75" t="s">
        <v>75</v>
      </c>
      <c r="H428" s="31">
        <v>1000238</v>
      </c>
      <c r="I428" s="75" t="s">
        <v>42</v>
      </c>
      <c r="J428" s="73" t="s">
        <v>413</v>
      </c>
      <c r="K428" s="31"/>
      <c r="L428" s="73" t="s">
        <v>222</v>
      </c>
      <c r="M428" s="31">
        <v>7901</v>
      </c>
      <c r="N428" s="97">
        <v>371045</v>
      </c>
      <c r="O428" s="34"/>
      <c r="P428" s="31">
        <v>1</v>
      </c>
      <c r="Q428" s="76" t="s">
        <v>26</v>
      </c>
      <c r="R428" s="77">
        <v>20.04</v>
      </c>
      <c r="S428" s="78">
        <f>Table4[[#This Row],[VALUE]]*Table4[[#This Row],[QTD]]</f>
        <v>20.04</v>
      </c>
    </row>
    <row r="429" spans="1:19" s="36" customFormat="1" ht="15" hidden="1" customHeight="1" x14ac:dyDescent="0.2">
      <c r="A429" s="60">
        <v>480</v>
      </c>
      <c r="B429" s="44">
        <v>45490</v>
      </c>
      <c r="C429" s="55">
        <v>45474</v>
      </c>
      <c r="D429" s="73" t="s">
        <v>27</v>
      </c>
      <c r="E429" s="74" t="s">
        <v>28</v>
      </c>
      <c r="F429" s="74"/>
      <c r="G429" s="75" t="s">
        <v>75</v>
      </c>
      <c r="H429" s="97">
        <v>1000287</v>
      </c>
      <c r="I429" s="75" t="s">
        <v>30</v>
      </c>
      <c r="J429" s="73" t="s">
        <v>412</v>
      </c>
      <c r="K429" s="31">
        <v>7064</v>
      </c>
      <c r="L429" s="73" t="s">
        <v>32</v>
      </c>
      <c r="M429" s="79" t="s">
        <v>479</v>
      </c>
      <c r="N429" s="97">
        <v>371045</v>
      </c>
      <c r="O429" s="34"/>
      <c r="P429" s="31">
        <v>159</v>
      </c>
      <c r="Q429" s="76" t="s">
        <v>34</v>
      </c>
      <c r="R429" s="77">
        <v>12.28</v>
      </c>
      <c r="S429" s="78">
        <f>Table4[[#This Row],[VALUE]]*Table4[[#This Row],[QTD]]</f>
        <v>1952.52</v>
      </c>
    </row>
    <row r="430" spans="1:19" s="36" customFormat="1" ht="15" hidden="1" customHeight="1" x14ac:dyDescent="0.2">
      <c r="A430" s="60">
        <v>481</v>
      </c>
      <c r="B430" s="44">
        <v>45490</v>
      </c>
      <c r="C430" s="55">
        <v>45474</v>
      </c>
      <c r="D430" s="73" t="s">
        <v>41</v>
      </c>
      <c r="E430" s="80" t="s">
        <v>74</v>
      </c>
      <c r="F430" s="80"/>
      <c r="G430" s="75" t="s">
        <v>75</v>
      </c>
      <c r="H430" s="31">
        <v>1000238</v>
      </c>
      <c r="I430" s="75" t="s">
        <v>42</v>
      </c>
      <c r="J430" s="73" t="s">
        <v>414</v>
      </c>
      <c r="K430" s="31"/>
      <c r="L430" s="73" t="s">
        <v>222</v>
      </c>
      <c r="M430" s="31">
        <v>7901</v>
      </c>
      <c r="N430" s="97">
        <v>371045</v>
      </c>
      <c r="O430" s="34"/>
      <c r="P430" s="31">
        <v>1</v>
      </c>
      <c r="Q430" s="76" t="s">
        <v>26</v>
      </c>
      <c r="R430" s="77">
        <v>701.03</v>
      </c>
      <c r="S430" s="78">
        <f>Table4[[#This Row],[VALUE]]*Table4[[#This Row],[QTD]]</f>
        <v>701.03</v>
      </c>
    </row>
    <row r="431" spans="1:19" s="36" customFormat="1" ht="15" hidden="1" customHeight="1" x14ac:dyDescent="0.2">
      <c r="A431" s="60">
        <v>482</v>
      </c>
      <c r="B431" s="44">
        <v>45490</v>
      </c>
      <c r="C431" s="55">
        <v>45474</v>
      </c>
      <c r="D431" s="73" t="s">
        <v>27</v>
      </c>
      <c r="E431" s="80" t="s">
        <v>74</v>
      </c>
      <c r="F431" s="80"/>
      <c r="G431" s="75" t="s">
        <v>75</v>
      </c>
      <c r="H431" s="97">
        <v>1000287</v>
      </c>
      <c r="I431" s="75" t="s">
        <v>30</v>
      </c>
      <c r="J431" s="73" t="s">
        <v>415</v>
      </c>
      <c r="K431" s="31">
        <v>7019</v>
      </c>
      <c r="L431" s="73" t="s">
        <v>355</v>
      </c>
      <c r="M431" s="79" t="s">
        <v>478</v>
      </c>
      <c r="N431" s="97">
        <v>371045</v>
      </c>
      <c r="O431" s="34"/>
      <c r="P431" s="31">
        <v>593</v>
      </c>
      <c r="Q431" s="76" t="s">
        <v>34</v>
      </c>
      <c r="R431" s="77">
        <v>12.28</v>
      </c>
      <c r="S431" s="78">
        <f>Table4[[#This Row],[VALUE]]*Table4[[#This Row],[QTD]]</f>
        <v>7282.04</v>
      </c>
    </row>
    <row r="432" spans="1:19" s="36" customFormat="1" ht="15" hidden="1" customHeight="1" x14ac:dyDescent="0.2">
      <c r="A432" s="60">
        <v>483</v>
      </c>
      <c r="B432" s="44">
        <v>45490</v>
      </c>
      <c r="C432" s="55">
        <v>45474</v>
      </c>
      <c r="D432" s="73" t="s">
        <v>41</v>
      </c>
      <c r="E432" s="74" t="s">
        <v>28</v>
      </c>
      <c r="F432" s="74"/>
      <c r="G432" s="75" t="s">
        <v>75</v>
      </c>
      <c r="H432" s="31">
        <v>1000238</v>
      </c>
      <c r="I432" s="75" t="s">
        <v>42</v>
      </c>
      <c r="J432" s="73" t="s">
        <v>413</v>
      </c>
      <c r="K432" s="31"/>
      <c r="L432" s="73" t="s">
        <v>222</v>
      </c>
      <c r="M432" s="31">
        <v>7901</v>
      </c>
      <c r="N432" s="97">
        <v>371045</v>
      </c>
      <c r="O432" s="34"/>
      <c r="P432" s="31">
        <v>1</v>
      </c>
      <c r="Q432" s="76" t="s">
        <v>26</v>
      </c>
      <c r="R432" s="77">
        <v>114.75</v>
      </c>
      <c r="S432" s="78">
        <f>Table4[[#This Row],[VALUE]]*Table4[[#This Row],[QTD]]</f>
        <v>114.75</v>
      </c>
    </row>
    <row r="433" spans="1:19" s="36" customFormat="1" ht="15" hidden="1" customHeight="1" x14ac:dyDescent="0.2">
      <c r="A433" s="60">
        <v>484</v>
      </c>
      <c r="B433" s="44">
        <v>45490</v>
      </c>
      <c r="C433" s="55">
        <v>45474</v>
      </c>
      <c r="D433" s="73" t="s">
        <v>27</v>
      </c>
      <c r="E433" s="74" t="s">
        <v>28</v>
      </c>
      <c r="F433" s="74"/>
      <c r="G433" s="75" t="s">
        <v>75</v>
      </c>
      <c r="H433" s="97">
        <v>1000287</v>
      </c>
      <c r="I433" s="75" t="s">
        <v>30</v>
      </c>
      <c r="J433" s="73" t="s">
        <v>412</v>
      </c>
      <c r="K433" s="31">
        <v>7064</v>
      </c>
      <c r="L433" s="73" t="s">
        <v>32</v>
      </c>
      <c r="M433" s="79" t="s">
        <v>479</v>
      </c>
      <c r="N433" s="97">
        <v>371045</v>
      </c>
      <c r="O433" s="34"/>
      <c r="P433" s="31">
        <v>150</v>
      </c>
      <c r="Q433" s="76" t="s">
        <v>34</v>
      </c>
      <c r="R433" s="77">
        <v>12.28</v>
      </c>
      <c r="S433" s="78">
        <f>Table4[[#This Row],[VALUE]]*Table4[[#This Row],[QTD]]</f>
        <v>1842</v>
      </c>
    </row>
    <row r="434" spans="1:19" s="36" customFormat="1" ht="15" hidden="1" customHeight="1" x14ac:dyDescent="0.2">
      <c r="A434" s="60">
        <v>485</v>
      </c>
      <c r="B434" s="44">
        <v>45490</v>
      </c>
      <c r="C434" s="55">
        <v>45474</v>
      </c>
      <c r="D434" s="73" t="s">
        <v>41</v>
      </c>
      <c r="E434" s="74" t="s">
        <v>28</v>
      </c>
      <c r="F434" s="74"/>
      <c r="G434" s="75" t="s">
        <v>75</v>
      </c>
      <c r="H434" s="31">
        <v>1000238</v>
      </c>
      <c r="I434" s="75" t="s">
        <v>42</v>
      </c>
      <c r="J434" s="73" t="s">
        <v>413</v>
      </c>
      <c r="K434" s="31"/>
      <c r="L434" s="73" t="s">
        <v>222</v>
      </c>
      <c r="M434" s="31">
        <v>7901</v>
      </c>
      <c r="N434" s="97">
        <v>371045</v>
      </c>
      <c r="O434" s="34"/>
      <c r="P434" s="31">
        <v>1</v>
      </c>
      <c r="Q434" s="76" t="s">
        <v>26</v>
      </c>
      <c r="R434" s="77">
        <v>20.04</v>
      </c>
      <c r="S434" s="78">
        <f>Table4[[#This Row],[VALUE]]*Table4[[#This Row],[QTD]]</f>
        <v>20.04</v>
      </c>
    </row>
    <row r="435" spans="1:19" s="36" customFormat="1" ht="15" hidden="1" customHeight="1" x14ac:dyDescent="0.2">
      <c r="A435" s="60">
        <v>486</v>
      </c>
      <c r="B435" s="44">
        <v>45490</v>
      </c>
      <c r="C435" s="55">
        <v>45474</v>
      </c>
      <c r="D435" s="73" t="s">
        <v>27</v>
      </c>
      <c r="E435" s="74" t="s">
        <v>28</v>
      </c>
      <c r="F435" s="74"/>
      <c r="G435" s="75" t="s">
        <v>75</v>
      </c>
      <c r="H435" s="97">
        <v>1000287</v>
      </c>
      <c r="I435" s="75" t="s">
        <v>30</v>
      </c>
      <c r="J435" s="73" t="s">
        <v>412</v>
      </c>
      <c r="K435" s="31">
        <v>7064</v>
      </c>
      <c r="L435" s="73" t="s">
        <v>32</v>
      </c>
      <c r="M435" s="79" t="s">
        <v>479</v>
      </c>
      <c r="N435" s="97">
        <v>371045</v>
      </c>
      <c r="O435" s="34"/>
      <c r="P435" s="31">
        <v>187</v>
      </c>
      <c r="Q435" s="76" t="s">
        <v>34</v>
      </c>
      <c r="R435" s="77">
        <v>12.28</v>
      </c>
      <c r="S435" s="78">
        <f>Table4[[#This Row],[VALUE]]*Table4[[#This Row],[QTD]]</f>
        <v>2296.3599999999997</v>
      </c>
    </row>
    <row r="436" spans="1:19" s="36" customFormat="1" ht="15" hidden="1" customHeight="1" x14ac:dyDescent="0.2">
      <c r="A436" s="60">
        <v>487</v>
      </c>
      <c r="B436" s="44">
        <v>45490</v>
      </c>
      <c r="C436" s="55">
        <v>45474</v>
      </c>
      <c r="D436" s="73" t="s">
        <v>41</v>
      </c>
      <c r="E436" s="74" t="s">
        <v>383</v>
      </c>
      <c r="F436" s="74"/>
      <c r="G436" s="75" t="s">
        <v>75</v>
      </c>
      <c r="H436" s="31">
        <v>1000238</v>
      </c>
      <c r="I436" s="75" t="s">
        <v>42</v>
      </c>
      <c r="J436" s="73" t="s">
        <v>414</v>
      </c>
      <c r="K436" s="31"/>
      <c r="L436" s="73" t="s">
        <v>222</v>
      </c>
      <c r="M436" s="31">
        <v>7901</v>
      </c>
      <c r="N436" s="97">
        <v>371065</v>
      </c>
      <c r="O436" s="34"/>
      <c r="P436" s="31">
        <v>1</v>
      </c>
      <c r="Q436" s="76" t="s">
        <v>26</v>
      </c>
      <c r="R436" s="77">
        <v>701.03</v>
      </c>
      <c r="S436" s="78">
        <f>Table4[[#This Row],[VALUE]]*Table4[[#This Row],[QTD]]</f>
        <v>701.03</v>
      </c>
    </row>
    <row r="437" spans="1:19" s="36" customFormat="1" ht="15" hidden="1" customHeight="1" x14ac:dyDescent="0.2">
      <c r="A437" s="60">
        <v>488</v>
      </c>
      <c r="B437" s="44">
        <v>45490</v>
      </c>
      <c r="C437" s="55">
        <v>45474</v>
      </c>
      <c r="D437" s="73" t="s">
        <v>27</v>
      </c>
      <c r="E437" s="74" t="s">
        <v>383</v>
      </c>
      <c r="F437" s="74"/>
      <c r="G437" s="75" t="s">
        <v>75</v>
      </c>
      <c r="H437" s="97">
        <v>1000287</v>
      </c>
      <c r="I437" s="75" t="s">
        <v>30</v>
      </c>
      <c r="J437" s="73" t="s">
        <v>415</v>
      </c>
      <c r="K437" s="31">
        <v>7019</v>
      </c>
      <c r="L437" s="73" t="s">
        <v>355</v>
      </c>
      <c r="M437" s="79" t="s">
        <v>478</v>
      </c>
      <c r="N437" s="97">
        <v>371065</v>
      </c>
      <c r="O437" s="34"/>
      <c r="P437" s="31">
        <v>594</v>
      </c>
      <c r="Q437" s="76" t="s">
        <v>34</v>
      </c>
      <c r="R437" s="77">
        <v>12.28</v>
      </c>
      <c r="S437" s="78">
        <f>Table4[[#This Row],[VALUE]]*Table4[[#This Row],[QTD]]</f>
        <v>7294.32</v>
      </c>
    </row>
    <row r="438" spans="1:19" s="36" customFormat="1" ht="15" hidden="1" customHeight="1" x14ac:dyDescent="0.2">
      <c r="A438" s="60">
        <v>489</v>
      </c>
      <c r="B438" s="44">
        <v>45491</v>
      </c>
      <c r="C438" s="55">
        <v>45474</v>
      </c>
      <c r="D438" s="73" t="s">
        <v>41</v>
      </c>
      <c r="E438" s="74" t="s">
        <v>383</v>
      </c>
      <c r="F438" s="74"/>
      <c r="G438" s="75" t="s">
        <v>75</v>
      </c>
      <c r="H438" s="31">
        <v>1000238</v>
      </c>
      <c r="I438" s="75" t="s">
        <v>42</v>
      </c>
      <c r="J438" s="73" t="s">
        <v>414</v>
      </c>
      <c r="K438" s="31"/>
      <c r="L438" s="73" t="s">
        <v>222</v>
      </c>
      <c r="M438" s="31">
        <v>7901</v>
      </c>
      <c r="N438" s="97">
        <v>371065</v>
      </c>
      <c r="O438" s="34"/>
      <c r="P438" s="31">
        <v>1</v>
      </c>
      <c r="Q438" s="76" t="s">
        <v>26</v>
      </c>
      <c r="R438" s="77">
        <v>504.08</v>
      </c>
      <c r="S438" s="78">
        <f>Table4[[#This Row],[VALUE]]*Table4[[#This Row],[QTD]]</f>
        <v>504.08</v>
      </c>
    </row>
    <row r="439" spans="1:19" s="36" customFormat="1" ht="15" hidden="1" customHeight="1" x14ac:dyDescent="0.2">
      <c r="A439" s="60">
        <v>490</v>
      </c>
      <c r="B439" s="44">
        <v>45491</v>
      </c>
      <c r="C439" s="55">
        <v>45474</v>
      </c>
      <c r="D439" s="73" t="s">
        <v>27</v>
      </c>
      <c r="E439" s="74" t="s">
        <v>383</v>
      </c>
      <c r="F439" s="74"/>
      <c r="G439" s="75" t="s">
        <v>75</v>
      </c>
      <c r="H439" s="97">
        <v>1000287</v>
      </c>
      <c r="I439" s="75" t="s">
        <v>30</v>
      </c>
      <c r="J439" s="73" t="s">
        <v>415</v>
      </c>
      <c r="K439" s="31">
        <v>7019</v>
      </c>
      <c r="L439" s="73" t="s">
        <v>355</v>
      </c>
      <c r="M439" s="79" t="s">
        <v>478</v>
      </c>
      <c r="N439" s="97">
        <v>371065</v>
      </c>
      <c r="O439" s="34"/>
      <c r="P439" s="31">
        <v>460</v>
      </c>
      <c r="Q439" s="76" t="s">
        <v>34</v>
      </c>
      <c r="R439" s="77">
        <v>12.28</v>
      </c>
      <c r="S439" s="78">
        <f>Table4[[#This Row],[VALUE]]*Table4[[#This Row],[QTD]]</f>
        <v>5648.7999999999993</v>
      </c>
    </row>
    <row r="440" spans="1:19" s="36" customFormat="1" ht="15" hidden="1" customHeight="1" x14ac:dyDescent="0.2">
      <c r="A440" s="60">
        <v>491</v>
      </c>
      <c r="B440" s="44">
        <v>45494</v>
      </c>
      <c r="C440" s="55">
        <v>45505</v>
      </c>
      <c r="D440" s="73" t="s">
        <v>41</v>
      </c>
      <c r="E440" s="74" t="s">
        <v>28</v>
      </c>
      <c r="F440" s="74"/>
      <c r="G440" s="75" t="s">
        <v>75</v>
      </c>
      <c r="H440" s="31">
        <v>1000238</v>
      </c>
      <c r="I440" s="75" t="s">
        <v>42</v>
      </c>
      <c r="J440" s="73" t="s">
        <v>416</v>
      </c>
      <c r="K440" s="31"/>
      <c r="L440" s="73" t="s">
        <v>222</v>
      </c>
      <c r="M440" s="31">
        <v>7901</v>
      </c>
      <c r="N440" s="97">
        <v>371094</v>
      </c>
      <c r="O440" s="34"/>
      <c r="P440" s="31">
        <v>1</v>
      </c>
      <c r="Q440" s="76" t="s">
        <v>26</v>
      </c>
      <c r="R440" s="77">
        <v>125.64</v>
      </c>
      <c r="S440" s="78">
        <f>Table4[[#This Row],[VALUE]]*Table4[[#This Row],[QTD]]</f>
        <v>125.64</v>
      </c>
    </row>
    <row r="441" spans="1:19" s="36" customFormat="1" ht="15" hidden="1" customHeight="1" x14ac:dyDescent="0.2">
      <c r="A441" s="60">
        <v>492</v>
      </c>
      <c r="B441" s="44">
        <v>45494</v>
      </c>
      <c r="C441" s="55">
        <v>45505</v>
      </c>
      <c r="D441" s="73" t="s">
        <v>27</v>
      </c>
      <c r="E441" s="74" t="s">
        <v>28</v>
      </c>
      <c r="F441" s="74"/>
      <c r="G441" s="75" t="s">
        <v>75</v>
      </c>
      <c r="H441" s="97">
        <v>1000287</v>
      </c>
      <c r="I441" s="75" t="s">
        <v>30</v>
      </c>
      <c r="J441" s="73" t="s">
        <v>417</v>
      </c>
      <c r="K441" s="31">
        <v>7064</v>
      </c>
      <c r="L441" s="73" t="s">
        <v>32</v>
      </c>
      <c r="M441" s="79" t="s">
        <v>479</v>
      </c>
      <c r="N441" s="97">
        <v>371094</v>
      </c>
      <c r="O441" s="34"/>
      <c r="P441" s="174">
        <v>83.333333333333329</v>
      </c>
      <c r="Q441" s="76" t="s">
        <v>34</v>
      </c>
      <c r="R441" s="77">
        <v>12.28</v>
      </c>
      <c r="S441" s="78">
        <f>Table4[[#This Row],[VALUE]]*Table4[[#This Row],[QTD]]</f>
        <v>1023.3333333333333</v>
      </c>
    </row>
    <row r="442" spans="1:19" s="36" customFormat="1" ht="15" hidden="1" customHeight="1" x14ac:dyDescent="0.2">
      <c r="A442" s="60">
        <v>493</v>
      </c>
      <c r="B442" s="44">
        <v>45494</v>
      </c>
      <c r="C442" s="55">
        <v>45505</v>
      </c>
      <c r="D442" s="73" t="s">
        <v>41</v>
      </c>
      <c r="E442" s="74" t="s">
        <v>28</v>
      </c>
      <c r="F442" s="74"/>
      <c r="G442" s="75" t="s">
        <v>75</v>
      </c>
      <c r="H442" s="31">
        <v>1000238</v>
      </c>
      <c r="I442" s="75" t="s">
        <v>42</v>
      </c>
      <c r="J442" s="73" t="s">
        <v>416</v>
      </c>
      <c r="K442" s="31"/>
      <c r="L442" s="73" t="s">
        <v>222</v>
      </c>
      <c r="M442" s="31">
        <v>7901</v>
      </c>
      <c r="N442" s="97">
        <v>371094</v>
      </c>
      <c r="O442" s="34"/>
      <c r="P442" s="31">
        <v>1</v>
      </c>
      <c r="Q442" s="76" t="s">
        <v>26</v>
      </c>
      <c r="R442" s="77">
        <v>0</v>
      </c>
      <c r="S442" s="78">
        <f>Table4[[#This Row],[VALUE]]*Table4[[#This Row],[QTD]]</f>
        <v>0</v>
      </c>
    </row>
    <row r="443" spans="1:19" s="36" customFormat="1" ht="15" hidden="1" customHeight="1" x14ac:dyDescent="0.2">
      <c r="A443" s="60">
        <v>494</v>
      </c>
      <c r="B443" s="44">
        <v>45494</v>
      </c>
      <c r="C443" s="55">
        <v>45505</v>
      </c>
      <c r="D443" s="73" t="s">
        <v>27</v>
      </c>
      <c r="E443" s="74" t="s">
        <v>28</v>
      </c>
      <c r="F443" s="74"/>
      <c r="G443" s="75" t="s">
        <v>75</v>
      </c>
      <c r="H443" s="97">
        <v>1000287</v>
      </c>
      <c r="I443" s="75" t="s">
        <v>30</v>
      </c>
      <c r="J443" s="73" t="s">
        <v>417</v>
      </c>
      <c r="K443" s="31">
        <v>7064</v>
      </c>
      <c r="L443" s="73" t="s">
        <v>32</v>
      </c>
      <c r="M443" s="79" t="s">
        <v>479</v>
      </c>
      <c r="N443" s="97">
        <v>371094</v>
      </c>
      <c r="O443" s="34"/>
      <c r="P443" s="174">
        <v>83.333333333333329</v>
      </c>
      <c r="Q443" s="76" t="s">
        <v>34</v>
      </c>
      <c r="R443" s="77">
        <v>12.28</v>
      </c>
      <c r="S443" s="78">
        <f>Table4[[#This Row],[VALUE]]*Table4[[#This Row],[QTD]]</f>
        <v>1023.3333333333333</v>
      </c>
    </row>
    <row r="444" spans="1:19" s="36" customFormat="1" ht="15" hidden="1" customHeight="1" x14ac:dyDescent="0.2">
      <c r="A444" s="60">
        <v>495</v>
      </c>
      <c r="B444" s="44">
        <v>45494</v>
      </c>
      <c r="C444" s="55">
        <v>45505</v>
      </c>
      <c r="D444" s="73" t="s">
        <v>41</v>
      </c>
      <c r="E444" s="74" t="s">
        <v>28</v>
      </c>
      <c r="F444" s="74"/>
      <c r="G444" s="75" t="s">
        <v>75</v>
      </c>
      <c r="H444" s="31">
        <v>1000238</v>
      </c>
      <c r="I444" s="75" t="s">
        <v>42</v>
      </c>
      <c r="J444" s="73" t="s">
        <v>416</v>
      </c>
      <c r="K444" s="31"/>
      <c r="L444" s="73" t="s">
        <v>222</v>
      </c>
      <c r="M444" s="31">
        <v>7901</v>
      </c>
      <c r="N444" s="97">
        <v>371094</v>
      </c>
      <c r="O444" s="34"/>
      <c r="P444" s="31">
        <v>1</v>
      </c>
      <c r="Q444" s="76" t="s">
        <v>26</v>
      </c>
      <c r="R444" s="77">
        <v>47.4</v>
      </c>
      <c r="S444" s="78">
        <f>Table4[[#This Row],[VALUE]]*Table4[[#This Row],[QTD]]</f>
        <v>47.4</v>
      </c>
    </row>
    <row r="445" spans="1:19" s="36" customFormat="1" ht="15" hidden="1" customHeight="1" x14ac:dyDescent="0.2">
      <c r="A445" s="60">
        <v>496</v>
      </c>
      <c r="B445" s="44">
        <v>45494</v>
      </c>
      <c r="C445" s="55">
        <v>45505</v>
      </c>
      <c r="D445" s="73" t="s">
        <v>27</v>
      </c>
      <c r="E445" s="74" t="s">
        <v>28</v>
      </c>
      <c r="F445" s="74"/>
      <c r="G445" s="75" t="s">
        <v>75</v>
      </c>
      <c r="H445" s="97">
        <v>1000287</v>
      </c>
      <c r="I445" s="75" t="s">
        <v>30</v>
      </c>
      <c r="J445" s="73" t="s">
        <v>417</v>
      </c>
      <c r="K445" s="31">
        <v>7064</v>
      </c>
      <c r="L445" s="73" t="s">
        <v>32</v>
      </c>
      <c r="M445" s="79" t="s">
        <v>479</v>
      </c>
      <c r="N445" s="97">
        <v>371094</v>
      </c>
      <c r="O445" s="34"/>
      <c r="P445" s="174">
        <v>83.333333333333329</v>
      </c>
      <c r="Q445" s="76" t="s">
        <v>34</v>
      </c>
      <c r="R445" s="77">
        <v>12.28</v>
      </c>
      <c r="S445" s="78">
        <f>Table4[[#This Row],[VALUE]]*Table4[[#This Row],[QTD]]</f>
        <v>1023.3333333333333</v>
      </c>
    </row>
    <row r="446" spans="1:19" s="36" customFormat="1" ht="15" hidden="1" customHeight="1" x14ac:dyDescent="0.2">
      <c r="A446" s="60">
        <v>497</v>
      </c>
      <c r="B446" s="44">
        <v>45494</v>
      </c>
      <c r="C446" s="55">
        <v>45505</v>
      </c>
      <c r="D446" s="73" t="s">
        <v>41</v>
      </c>
      <c r="E446" s="74" t="s">
        <v>383</v>
      </c>
      <c r="F446" s="74"/>
      <c r="G446" s="75" t="s">
        <v>75</v>
      </c>
      <c r="H446" s="31">
        <v>1000238</v>
      </c>
      <c r="I446" s="75" t="s">
        <v>42</v>
      </c>
      <c r="J446" s="73" t="s">
        <v>418</v>
      </c>
      <c r="K446" s="31"/>
      <c r="L446" s="73" t="s">
        <v>222</v>
      </c>
      <c r="M446" s="31">
        <v>7901</v>
      </c>
      <c r="N446" s="97">
        <v>371065</v>
      </c>
      <c r="O446" s="34"/>
      <c r="P446" s="31">
        <v>1</v>
      </c>
      <c r="Q446" s="76" t="s">
        <v>26</v>
      </c>
      <c r="R446" s="77">
        <v>349.12</v>
      </c>
      <c r="S446" s="78">
        <f>Table4[[#This Row],[VALUE]]*Table4[[#This Row],[QTD]]</f>
        <v>349.12</v>
      </c>
    </row>
    <row r="447" spans="1:19" s="36" customFormat="1" ht="15" hidden="1" customHeight="1" x14ac:dyDescent="0.2">
      <c r="A447" s="60">
        <v>498</v>
      </c>
      <c r="B447" s="44">
        <v>45494</v>
      </c>
      <c r="C447" s="55">
        <v>45505</v>
      </c>
      <c r="D447" s="73" t="s">
        <v>27</v>
      </c>
      <c r="E447" s="74" t="s">
        <v>383</v>
      </c>
      <c r="F447" s="74"/>
      <c r="G447" s="75" t="s">
        <v>75</v>
      </c>
      <c r="H447" s="97">
        <v>1000287</v>
      </c>
      <c r="I447" s="75" t="s">
        <v>30</v>
      </c>
      <c r="J447" s="73" t="s">
        <v>419</v>
      </c>
      <c r="K447" s="31">
        <v>7016</v>
      </c>
      <c r="L447" s="73" t="s">
        <v>63</v>
      </c>
      <c r="M447" s="79" t="s">
        <v>480</v>
      </c>
      <c r="N447" s="97">
        <v>371065</v>
      </c>
      <c r="O447" s="34"/>
      <c r="P447" s="31">
        <v>368</v>
      </c>
      <c r="Q447" s="76" t="s">
        <v>34</v>
      </c>
      <c r="R447" s="77">
        <v>12.28</v>
      </c>
      <c r="S447" s="78">
        <f>Table4[[#This Row],[VALUE]]*Table4[[#This Row],[QTD]]</f>
        <v>4519.04</v>
      </c>
    </row>
    <row r="448" spans="1:19" s="36" customFormat="1" ht="15" hidden="1" customHeight="1" x14ac:dyDescent="0.2">
      <c r="A448" s="60">
        <v>499</v>
      </c>
      <c r="B448" s="61">
        <v>45494</v>
      </c>
      <c r="C448" s="55">
        <v>45505</v>
      </c>
      <c r="D448" s="75" t="s">
        <v>41</v>
      </c>
      <c r="E448" s="81" t="s">
        <v>28</v>
      </c>
      <c r="F448" s="81"/>
      <c r="G448" s="82" t="s">
        <v>75</v>
      </c>
      <c r="H448" s="31">
        <v>1000238</v>
      </c>
      <c r="I448" s="82" t="s">
        <v>42</v>
      </c>
      <c r="J448" s="82" t="s">
        <v>420</v>
      </c>
      <c r="K448" s="97"/>
      <c r="L448" s="73" t="s">
        <v>222</v>
      </c>
      <c r="M448" s="31">
        <v>7901</v>
      </c>
      <c r="N448" s="97">
        <v>371045</v>
      </c>
      <c r="O448" s="34"/>
      <c r="P448" s="50">
        <v>1</v>
      </c>
      <c r="Q448" s="73" t="s">
        <v>26</v>
      </c>
      <c r="R448" s="83">
        <v>104.62</v>
      </c>
      <c r="S448" s="78">
        <f>Table4[[#This Row],[VALUE]]*Table4[[#This Row],[QTD]]</f>
        <v>104.62</v>
      </c>
    </row>
    <row r="449" spans="1:19" s="36" customFormat="1" ht="15" hidden="1" customHeight="1" x14ac:dyDescent="0.2">
      <c r="A449" s="60">
        <v>500</v>
      </c>
      <c r="B449" s="61">
        <v>45494</v>
      </c>
      <c r="C449" s="55">
        <v>45505</v>
      </c>
      <c r="D449" s="73" t="s">
        <v>27</v>
      </c>
      <c r="E449" s="81" t="s">
        <v>28</v>
      </c>
      <c r="F449" s="81"/>
      <c r="G449" s="82" t="s">
        <v>75</v>
      </c>
      <c r="H449" s="97">
        <v>1000287</v>
      </c>
      <c r="I449" s="82" t="s">
        <v>30</v>
      </c>
      <c r="J449" s="73" t="s">
        <v>421</v>
      </c>
      <c r="K449" s="31">
        <v>7064</v>
      </c>
      <c r="L449" s="73" t="s">
        <v>32</v>
      </c>
      <c r="M449" s="79" t="s">
        <v>479</v>
      </c>
      <c r="N449" s="97">
        <v>371045</v>
      </c>
      <c r="O449" s="34"/>
      <c r="P449" s="174">
        <v>83.333333333333329</v>
      </c>
      <c r="Q449" s="73" t="s">
        <v>34</v>
      </c>
      <c r="R449" s="83">
        <v>12.28</v>
      </c>
      <c r="S449" s="78">
        <f>Table4[[#This Row],[VALUE]]*Table4[[#This Row],[QTD]]</f>
        <v>1023.3333333333333</v>
      </c>
    </row>
    <row r="450" spans="1:19" s="36" customFormat="1" ht="15" hidden="1" customHeight="1" x14ac:dyDescent="0.2">
      <c r="A450" s="60">
        <v>501</v>
      </c>
      <c r="B450" s="61">
        <v>45494</v>
      </c>
      <c r="C450" s="55">
        <v>45505</v>
      </c>
      <c r="D450" s="75" t="s">
        <v>41</v>
      </c>
      <c r="E450" s="81" t="s">
        <v>28</v>
      </c>
      <c r="F450" s="81"/>
      <c r="G450" s="82" t="s">
        <v>75</v>
      </c>
      <c r="H450" s="31">
        <v>1000238</v>
      </c>
      <c r="I450" s="82" t="s">
        <v>42</v>
      </c>
      <c r="J450" s="82" t="s">
        <v>420</v>
      </c>
      <c r="K450" s="97"/>
      <c r="L450" s="73" t="s">
        <v>222</v>
      </c>
      <c r="M450" s="31">
        <v>7901</v>
      </c>
      <c r="N450" s="97">
        <v>371045</v>
      </c>
      <c r="O450" s="34"/>
      <c r="P450" s="50">
        <v>1</v>
      </c>
      <c r="Q450" s="73" t="s">
        <v>26</v>
      </c>
      <c r="R450" s="83">
        <v>0</v>
      </c>
      <c r="S450" s="78">
        <f>Table4[[#This Row],[VALUE]]*Table4[[#This Row],[QTD]]</f>
        <v>0</v>
      </c>
    </row>
    <row r="451" spans="1:19" s="36" customFormat="1" ht="15" hidden="1" customHeight="1" x14ac:dyDescent="0.2">
      <c r="A451" s="60">
        <v>502</v>
      </c>
      <c r="B451" s="61">
        <v>45494</v>
      </c>
      <c r="C451" s="55">
        <v>45505</v>
      </c>
      <c r="D451" s="73" t="s">
        <v>27</v>
      </c>
      <c r="E451" s="81" t="s">
        <v>28</v>
      </c>
      <c r="F451" s="81"/>
      <c r="G451" s="82" t="s">
        <v>75</v>
      </c>
      <c r="H451" s="97">
        <v>1000287</v>
      </c>
      <c r="I451" s="82" t="s">
        <v>30</v>
      </c>
      <c r="J451" s="73" t="s">
        <v>421</v>
      </c>
      <c r="K451" s="31">
        <v>7064</v>
      </c>
      <c r="L451" s="73" t="s">
        <v>32</v>
      </c>
      <c r="M451" s="79" t="s">
        <v>479</v>
      </c>
      <c r="N451" s="97">
        <v>371045</v>
      </c>
      <c r="O451" s="84"/>
      <c r="P451" s="174">
        <v>83.333333333333329</v>
      </c>
      <c r="Q451" s="73" t="s">
        <v>34</v>
      </c>
      <c r="R451" s="83">
        <v>12.28</v>
      </c>
      <c r="S451" s="78">
        <f>Table4[[#This Row],[VALUE]]*Table4[[#This Row],[QTD]]</f>
        <v>1023.3333333333333</v>
      </c>
    </row>
    <row r="452" spans="1:19" s="36" customFormat="1" ht="15" hidden="1" customHeight="1" x14ac:dyDescent="0.2">
      <c r="A452" s="60">
        <v>503</v>
      </c>
      <c r="B452" s="61">
        <v>45494</v>
      </c>
      <c r="C452" s="55">
        <v>45505</v>
      </c>
      <c r="D452" s="75" t="s">
        <v>41</v>
      </c>
      <c r="E452" s="81" t="s">
        <v>28</v>
      </c>
      <c r="F452" s="81"/>
      <c r="G452" s="82" t="s">
        <v>75</v>
      </c>
      <c r="H452" s="31">
        <v>1000238</v>
      </c>
      <c r="I452" s="82" t="s">
        <v>42</v>
      </c>
      <c r="J452" s="82" t="s">
        <v>420</v>
      </c>
      <c r="K452" s="97"/>
      <c r="L452" s="73" t="s">
        <v>222</v>
      </c>
      <c r="M452" s="31">
        <v>7901</v>
      </c>
      <c r="N452" s="97">
        <v>371045</v>
      </c>
      <c r="O452" s="34"/>
      <c r="P452" s="50">
        <v>1</v>
      </c>
      <c r="Q452" s="73" t="s">
        <v>26</v>
      </c>
      <c r="R452" s="83">
        <v>39.5</v>
      </c>
      <c r="S452" s="78">
        <f>Table4[[#This Row],[VALUE]]*Table4[[#This Row],[QTD]]</f>
        <v>39.5</v>
      </c>
    </row>
    <row r="453" spans="1:19" s="36" customFormat="1" ht="15" hidden="1" customHeight="1" x14ac:dyDescent="0.2">
      <c r="A453" s="60">
        <v>504</v>
      </c>
      <c r="B453" s="61">
        <v>45494</v>
      </c>
      <c r="C453" s="55">
        <v>45505</v>
      </c>
      <c r="D453" s="73" t="s">
        <v>27</v>
      </c>
      <c r="E453" s="81" t="s">
        <v>28</v>
      </c>
      <c r="F453" s="81"/>
      <c r="G453" s="82" t="s">
        <v>75</v>
      </c>
      <c r="H453" s="97">
        <v>1000287</v>
      </c>
      <c r="I453" s="82" t="s">
        <v>30</v>
      </c>
      <c r="J453" s="73" t="s">
        <v>421</v>
      </c>
      <c r="K453" s="31">
        <v>7064</v>
      </c>
      <c r="L453" s="73" t="s">
        <v>32</v>
      </c>
      <c r="M453" s="79" t="s">
        <v>479</v>
      </c>
      <c r="N453" s="97">
        <v>371045</v>
      </c>
      <c r="O453" s="34"/>
      <c r="P453" s="174">
        <v>83.333333333333329</v>
      </c>
      <c r="Q453" s="73" t="s">
        <v>34</v>
      </c>
      <c r="R453" s="83">
        <v>12.28</v>
      </c>
      <c r="S453" s="78">
        <f>Table4[[#This Row],[VALUE]]*Table4[[#This Row],[QTD]]</f>
        <v>1023.3333333333333</v>
      </c>
    </row>
    <row r="454" spans="1:19" s="36" customFormat="1" ht="15" hidden="1" customHeight="1" x14ac:dyDescent="0.2">
      <c r="A454" s="60">
        <v>505</v>
      </c>
      <c r="B454" s="44">
        <v>45494</v>
      </c>
      <c r="C454" s="55">
        <v>45505</v>
      </c>
      <c r="D454" s="73" t="s">
        <v>41</v>
      </c>
      <c r="E454" s="80" t="s">
        <v>74</v>
      </c>
      <c r="F454" s="80"/>
      <c r="G454" s="75" t="s">
        <v>75</v>
      </c>
      <c r="H454" s="31">
        <v>1000238</v>
      </c>
      <c r="I454" s="75" t="s">
        <v>42</v>
      </c>
      <c r="J454" s="73" t="s">
        <v>422</v>
      </c>
      <c r="K454" s="31"/>
      <c r="L454" s="73" t="s">
        <v>222</v>
      </c>
      <c r="M454" s="31">
        <v>7901</v>
      </c>
      <c r="N454" s="97">
        <v>371045</v>
      </c>
      <c r="O454" s="34"/>
      <c r="P454" s="50">
        <v>1</v>
      </c>
      <c r="Q454" s="76" t="s">
        <v>26</v>
      </c>
      <c r="R454" s="77">
        <v>1458.24</v>
      </c>
      <c r="S454" s="78">
        <f>Table4[[#This Row],[VALUE]]*Table4[[#This Row],[QTD]]</f>
        <v>1458.24</v>
      </c>
    </row>
    <row r="455" spans="1:19" s="36" customFormat="1" ht="15" hidden="1" customHeight="1" x14ac:dyDescent="0.2">
      <c r="A455" s="60">
        <v>506</v>
      </c>
      <c r="B455" s="44">
        <v>45494</v>
      </c>
      <c r="C455" s="55">
        <v>45505</v>
      </c>
      <c r="D455" s="73" t="s">
        <v>27</v>
      </c>
      <c r="E455" s="80" t="s">
        <v>74</v>
      </c>
      <c r="F455" s="80"/>
      <c r="G455" s="75" t="s">
        <v>75</v>
      </c>
      <c r="H455" s="97">
        <v>1000287</v>
      </c>
      <c r="I455" s="75" t="s">
        <v>30</v>
      </c>
      <c r="J455" s="73" t="s">
        <v>423</v>
      </c>
      <c r="K455" s="31">
        <v>7024</v>
      </c>
      <c r="L455" s="73" t="s">
        <v>426</v>
      </c>
      <c r="M455" s="31">
        <v>2103</v>
      </c>
      <c r="N455" s="97">
        <v>371045</v>
      </c>
      <c r="O455" s="34"/>
      <c r="P455" s="31">
        <v>747</v>
      </c>
      <c r="Q455" s="76" t="s">
        <v>34</v>
      </c>
      <c r="R455" s="77">
        <v>12.28</v>
      </c>
      <c r="S455" s="78">
        <f>Table4[[#This Row],[VALUE]]*Table4[[#This Row],[QTD]]</f>
        <v>9173.16</v>
      </c>
    </row>
    <row r="456" spans="1:19" s="36" customFormat="1" ht="15" hidden="1" customHeight="1" x14ac:dyDescent="0.2">
      <c r="A456" s="60">
        <v>507</v>
      </c>
      <c r="B456" s="44">
        <v>45496</v>
      </c>
      <c r="C456" s="55">
        <v>45505</v>
      </c>
      <c r="D456" s="73" t="s">
        <v>41</v>
      </c>
      <c r="E456" s="74" t="s">
        <v>383</v>
      </c>
      <c r="F456" s="74"/>
      <c r="G456" s="75" t="s">
        <v>75</v>
      </c>
      <c r="H456" s="31">
        <v>1000238</v>
      </c>
      <c r="I456" s="75" t="s">
        <v>42</v>
      </c>
      <c r="J456" s="73" t="s">
        <v>424</v>
      </c>
      <c r="K456" s="31"/>
      <c r="L456" s="73" t="s">
        <v>222</v>
      </c>
      <c r="M456" s="31">
        <v>7901</v>
      </c>
      <c r="N456" s="97">
        <v>371065</v>
      </c>
      <c r="O456" s="34"/>
      <c r="P456" s="50">
        <v>1</v>
      </c>
      <c r="Q456" s="76" t="s">
        <v>26</v>
      </c>
      <c r="R456" s="77">
        <v>961.43</v>
      </c>
      <c r="S456" s="78">
        <f>Table4[[#This Row],[VALUE]]*Table4[[#This Row],[QTD]]</f>
        <v>961.43</v>
      </c>
    </row>
    <row r="457" spans="1:19" s="36" customFormat="1" ht="15" hidden="1" customHeight="1" x14ac:dyDescent="0.2">
      <c r="A457" s="60">
        <v>508</v>
      </c>
      <c r="B457" s="44">
        <v>45496</v>
      </c>
      <c r="C457" s="55">
        <v>45505</v>
      </c>
      <c r="D457" s="73" t="s">
        <v>27</v>
      </c>
      <c r="E457" s="74" t="s">
        <v>383</v>
      </c>
      <c r="F457" s="74"/>
      <c r="G457" s="75" t="s">
        <v>75</v>
      </c>
      <c r="H457" s="97">
        <v>1000287</v>
      </c>
      <c r="I457" s="75" t="s">
        <v>30</v>
      </c>
      <c r="J457" s="73" t="s">
        <v>425</v>
      </c>
      <c r="K457" s="31">
        <v>7024</v>
      </c>
      <c r="L457" s="73" t="s">
        <v>426</v>
      </c>
      <c r="M457" s="31">
        <v>2103</v>
      </c>
      <c r="N457" s="97">
        <v>371065</v>
      </c>
      <c r="O457" s="34"/>
      <c r="P457" s="31">
        <v>599</v>
      </c>
      <c r="Q457" s="76" t="s">
        <v>34</v>
      </c>
      <c r="R457" s="77">
        <v>12.28</v>
      </c>
      <c r="S457" s="78">
        <f>Table4[[#This Row],[VALUE]]*Table4[[#This Row],[QTD]]</f>
        <v>7355.7199999999993</v>
      </c>
    </row>
    <row r="458" spans="1:19" s="36" customFormat="1" ht="15" hidden="1" customHeight="1" x14ac:dyDescent="0.2">
      <c r="A458" s="60">
        <v>509</v>
      </c>
      <c r="B458" s="44">
        <v>45496</v>
      </c>
      <c r="C458" s="55">
        <v>45505</v>
      </c>
      <c r="D458" s="73" t="s">
        <v>41</v>
      </c>
      <c r="E458" s="74" t="s">
        <v>383</v>
      </c>
      <c r="F458" s="74"/>
      <c r="G458" s="75" t="s">
        <v>75</v>
      </c>
      <c r="H458" s="31">
        <v>1000238</v>
      </c>
      <c r="I458" s="75" t="s">
        <v>42</v>
      </c>
      <c r="J458" s="73" t="s">
        <v>424</v>
      </c>
      <c r="K458" s="31"/>
      <c r="L458" s="73" t="s">
        <v>222</v>
      </c>
      <c r="M458" s="31">
        <v>7901</v>
      </c>
      <c r="N458" s="97">
        <v>371065</v>
      </c>
      <c r="O458" s="34"/>
      <c r="P458" s="50">
        <v>1</v>
      </c>
      <c r="Q458" s="76" t="s">
        <v>26</v>
      </c>
      <c r="R458" s="77">
        <v>961.43</v>
      </c>
      <c r="S458" s="78">
        <f>Table4[[#This Row],[VALUE]]*Table4[[#This Row],[QTD]]</f>
        <v>961.43</v>
      </c>
    </row>
    <row r="459" spans="1:19" s="36" customFormat="1" ht="15" hidden="1" customHeight="1" x14ac:dyDescent="0.2">
      <c r="A459" s="60">
        <v>510</v>
      </c>
      <c r="B459" s="44">
        <v>45496</v>
      </c>
      <c r="C459" s="55">
        <v>45505</v>
      </c>
      <c r="D459" s="73" t="s">
        <v>27</v>
      </c>
      <c r="E459" s="74" t="s">
        <v>383</v>
      </c>
      <c r="F459" s="74"/>
      <c r="G459" s="75" t="s">
        <v>75</v>
      </c>
      <c r="H459" s="97">
        <v>1000287</v>
      </c>
      <c r="I459" s="75" t="s">
        <v>30</v>
      </c>
      <c r="J459" s="73" t="s">
        <v>425</v>
      </c>
      <c r="K459" s="31">
        <v>7024</v>
      </c>
      <c r="L459" s="73" t="s">
        <v>426</v>
      </c>
      <c r="M459" s="31">
        <v>2103</v>
      </c>
      <c r="N459" s="97">
        <v>371065</v>
      </c>
      <c r="O459" s="34"/>
      <c r="P459" s="31">
        <v>606</v>
      </c>
      <c r="Q459" s="76" t="s">
        <v>34</v>
      </c>
      <c r="R459" s="77">
        <v>12.28</v>
      </c>
      <c r="S459" s="78">
        <f>Table4[[#This Row],[VALUE]]*Table4[[#This Row],[QTD]]</f>
        <v>7441.6799999999994</v>
      </c>
    </row>
    <row r="460" spans="1:19" s="36" customFormat="1" ht="15" hidden="1" customHeight="1" x14ac:dyDescent="0.2">
      <c r="A460" s="60">
        <v>511</v>
      </c>
      <c r="B460" s="44">
        <v>45496</v>
      </c>
      <c r="C460" s="55">
        <v>45505</v>
      </c>
      <c r="D460" s="73" t="s">
        <v>41</v>
      </c>
      <c r="E460" s="74" t="s">
        <v>383</v>
      </c>
      <c r="F460" s="74"/>
      <c r="G460" s="75" t="s">
        <v>75</v>
      </c>
      <c r="H460" s="31">
        <v>1000238</v>
      </c>
      <c r="I460" s="75" t="s">
        <v>42</v>
      </c>
      <c r="J460" s="73" t="s">
        <v>424</v>
      </c>
      <c r="K460" s="31"/>
      <c r="L460" s="73" t="s">
        <v>222</v>
      </c>
      <c r="M460" s="31">
        <v>7901</v>
      </c>
      <c r="N460" s="97">
        <v>371065</v>
      </c>
      <c r="O460" s="34"/>
      <c r="P460" s="50">
        <v>1</v>
      </c>
      <c r="Q460" s="76" t="s">
        <v>26</v>
      </c>
      <c r="R460" s="77">
        <v>961.43</v>
      </c>
      <c r="S460" s="78">
        <f>Table4[[#This Row],[VALUE]]*Table4[[#This Row],[QTD]]</f>
        <v>961.43</v>
      </c>
    </row>
    <row r="461" spans="1:19" s="36" customFormat="1" ht="15" hidden="1" customHeight="1" x14ac:dyDescent="0.2">
      <c r="A461" s="60">
        <v>512</v>
      </c>
      <c r="B461" s="44">
        <v>45496</v>
      </c>
      <c r="C461" s="55">
        <v>45505</v>
      </c>
      <c r="D461" s="73" t="s">
        <v>27</v>
      </c>
      <c r="E461" s="74" t="s">
        <v>383</v>
      </c>
      <c r="F461" s="74"/>
      <c r="G461" s="75" t="s">
        <v>75</v>
      </c>
      <c r="H461" s="97">
        <v>1000287</v>
      </c>
      <c r="I461" s="75" t="s">
        <v>30</v>
      </c>
      <c r="J461" s="73" t="s">
        <v>425</v>
      </c>
      <c r="K461" s="31">
        <v>7024</v>
      </c>
      <c r="L461" s="73" t="s">
        <v>426</v>
      </c>
      <c r="M461" s="31">
        <v>2103</v>
      </c>
      <c r="N461" s="97">
        <v>371065</v>
      </c>
      <c r="O461" s="34"/>
      <c r="P461" s="31">
        <v>607</v>
      </c>
      <c r="Q461" s="76" t="s">
        <v>34</v>
      </c>
      <c r="R461" s="77">
        <v>12.28</v>
      </c>
      <c r="S461" s="78">
        <f>Table4[[#This Row],[VALUE]]*Table4[[#This Row],[QTD]]</f>
        <v>7453.96</v>
      </c>
    </row>
    <row r="462" spans="1:19" s="32" customFormat="1" ht="15" hidden="1" customHeight="1" x14ac:dyDescent="0.2">
      <c r="A462" s="60"/>
      <c r="B462" s="44">
        <v>45499</v>
      </c>
      <c r="C462" s="55">
        <v>45505</v>
      </c>
      <c r="D462" s="47" t="s">
        <v>41</v>
      </c>
      <c r="E462" s="85" t="s">
        <v>383</v>
      </c>
      <c r="F462" s="85"/>
      <c r="G462" s="45" t="s">
        <v>75</v>
      </c>
      <c r="H462" s="31">
        <v>1000238</v>
      </c>
      <c r="I462" s="45" t="s">
        <v>42</v>
      </c>
      <c r="J462" s="47" t="s">
        <v>442</v>
      </c>
      <c r="K462" s="31"/>
      <c r="L462" s="45" t="s">
        <v>222</v>
      </c>
      <c r="M462" s="31">
        <v>7901</v>
      </c>
      <c r="N462" s="97">
        <v>371065</v>
      </c>
      <c r="O462" s="34"/>
      <c r="P462" s="175">
        <v>1</v>
      </c>
      <c r="Q462" s="50" t="s">
        <v>26</v>
      </c>
      <c r="R462" s="51">
        <v>292.2</v>
      </c>
      <c r="S462" s="64">
        <f>Table4[[#This Row],[VALUE]]*Table4[[#This Row],[QTD]]</f>
        <v>292.2</v>
      </c>
    </row>
    <row r="463" spans="1:19" s="32" customFormat="1" ht="15" hidden="1" customHeight="1" x14ac:dyDescent="0.2">
      <c r="A463" s="60"/>
      <c r="B463" s="44">
        <v>45499</v>
      </c>
      <c r="C463" s="55">
        <v>45505</v>
      </c>
      <c r="D463" s="47" t="s">
        <v>27</v>
      </c>
      <c r="E463" s="85" t="s">
        <v>383</v>
      </c>
      <c r="F463" s="85"/>
      <c r="G463" s="45" t="s">
        <v>75</v>
      </c>
      <c r="H463" s="97">
        <v>1000287</v>
      </c>
      <c r="I463" s="45" t="s">
        <v>30</v>
      </c>
      <c r="J463" s="47" t="s">
        <v>443</v>
      </c>
      <c r="K463" s="31">
        <v>7007</v>
      </c>
      <c r="L463" s="45" t="s">
        <v>39</v>
      </c>
      <c r="M463" s="31">
        <v>2422</v>
      </c>
      <c r="N463" s="97">
        <v>371065</v>
      </c>
      <c r="O463" s="34"/>
      <c r="P463" s="175">
        <v>327</v>
      </c>
      <c r="Q463" s="50" t="s">
        <v>34</v>
      </c>
      <c r="R463" s="51">
        <v>12.28</v>
      </c>
      <c r="S463" s="64">
        <f>Table4[[#This Row],[VALUE]]*Table4[[#This Row],[QTD]]</f>
        <v>4015.56</v>
      </c>
    </row>
    <row r="464" spans="1:19" s="32" customFormat="1" ht="15" hidden="1" customHeight="1" x14ac:dyDescent="0.2">
      <c r="A464" s="60"/>
      <c r="B464" s="44">
        <v>45499</v>
      </c>
      <c r="C464" s="55">
        <v>45505</v>
      </c>
      <c r="D464" s="47" t="s">
        <v>41</v>
      </c>
      <c r="E464" s="85" t="s">
        <v>383</v>
      </c>
      <c r="F464" s="85"/>
      <c r="G464" s="45" t="s">
        <v>75</v>
      </c>
      <c r="H464" s="31">
        <v>1000238</v>
      </c>
      <c r="I464" s="45" t="s">
        <v>42</v>
      </c>
      <c r="J464" s="47" t="s">
        <v>442</v>
      </c>
      <c r="K464" s="31"/>
      <c r="L464" s="45" t="s">
        <v>222</v>
      </c>
      <c r="M464" s="31">
        <v>7901</v>
      </c>
      <c r="N464" s="97">
        <v>371065</v>
      </c>
      <c r="O464" s="34"/>
      <c r="P464" s="175">
        <v>1</v>
      </c>
      <c r="Q464" s="50" t="s">
        <v>26</v>
      </c>
      <c r="R464" s="51">
        <v>217.6</v>
      </c>
      <c r="S464" s="64">
        <f>Table4[[#This Row],[VALUE]]*Table4[[#This Row],[QTD]]</f>
        <v>217.6</v>
      </c>
    </row>
    <row r="465" spans="1:19" s="32" customFormat="1" ht="15" hidden="1" customHeight="1" x14ac:dyDescent="0.2">
      <c r="A465" s="60"/>
      <c r="B465" s="44">
        <v>45499</v>
      </c>
      <c r="C465" s="55">
        <v>45505</v>
      </c>
      <c r="D465" s="47" t="s">
        <v>27</v>
      </c>
      <c r="E465" s="85" t="s">
        <v>383</v>
      </c>
      <c r="F465" s="85"/>
      <c r="G465" s="45" t="s">
        <v>75</v>
      </c>
      <c r="H465" s="97">
        <v>1000287</v>
      </c>
      <c r="I465" s="45" t="s">
        <v>30</v>
      </c>
      <c r="J465" s="47" t="s">
        <v>443</v>
      </c>
      <c r="K465" s="31">
        <v>7007</v>
      </c>
      <c r="L465" s="45" t="s">
        <v>39</v>
      </c>
      <c r="M465" s="31">
        <v>2422</v>
      </c>
      <c r="N465" s="97">
        <v>371065</v>
      </c>
      <c r="O465" s="34"/>
      <c r="P465" s="175">
        <v>327</v>
      </c>
      <c r="Q465" s="50" t="s">
        <v>34</v>
      </c>
      <c r="R465" s="51">
        <v>12.28</v>
      </c>
      <c r="S465" s="64">
        <f>Table4[[#This Row],[VALUE]]*Table4[[#This Row],[QTD]]</f>
        <v>4015.56</v>
      </c>
    </row>
    <row r="466" spans="1:19" s="32" customFormat="1" ht="15" hidden="1" customHeight="1" x14ac:dyDescent="0.2">
      <c r="A466" s="60"/>
      <c r="B466" s="44">
        <v>45499</v>
      </c>
      <c r="C466" s="55">
        <v>45505</v>
      </c>
      <c r="D466" s="47" t="s">
        <v>41</v>
      </c>
      <c r="E466" s="85" t="s">
        <v>383</v>
      </c>
      <c r="F466" s="85"/>
      <c r="G466" s="45" t="s">
        <v>75</v>
      </c>
      <c r="H466" s="31">
        <v>1000238</v>
      </c>
      <c r="I466" s="45" t="s">
        <v>42</v>
      </c>
      <c r="J466" s="47" t="s">
        <v>442</v>
      </c>
      <c r="K466" s="31"/>
      <c r="L466" s="45" t="s">
        <v>222</v>
      </c>
      <c r="M466" s="31">
        <v>7901</v>
      </c>
      <c r="N466" s="97">
        <v>371065</v>
      </c>
      <c r="O466" s="34"/>
      <c r="P466" s="175">
        <v>1</v>
      </c>
      <c r="Q466" s="50" t="s">
        <v>26</v>
      </c>
      <c r="R466" s="51">
        <v>292.2</v>
      </c>
      <c r="S466" s="64">
        <f>Table4[[#This Row],[VALUE]]*Table4[[#This Row],[QTD]]</f>
        <v>292.2</v>
      </c>
    </row>
    <row r="467" spans="1:19" s="32" customFormat="1" ht="15" hidden="1" customHeight="1" x14ac:dyDescent="0.2">
      <c r="A467" s="60"/>
      <c r="B467" s="44">
        <v>45499</v>
      </c>
      <c r="C467" s="55">
        <v>45505</v>
      </c>
      <c r="D467" s="47" t="s">
        <v>27</v>
      </c>
      <c r="E467" s="85" t="s">
        <v>383</v>
      </c>
      <c r="F467" s="85"/>
      <c r="G467" s="45" t="s">
        <v>75</v>
      </c>
      <c r="H467" s="97">
        <v>1000287</v>
      </c>
      <c r="I467" s="45" t="s">
        <v>30</v>
      </c>
      <c r="J467" s="47" t="s">
        <v>443</v>
      </c>
      <c r="K467" s="31">
        <v>7007</v>
      </c>
      <c r="L467" s="45" t="s">
        <v>39</v>
      </c>
      <c r="M467" s="31">
        <v>2422</v>
      </c>
      <c r="N467" s="97">
        <v>371065</v>
      </c>
      <c r="O467" s="34"/>
      <c r="P467" s="175">
        <v>328</v>
      </c>
      <c r="Q467" s="50" t="s">
        <v>34</v>
      </c>
      <c r="R467" s="51">
        <v>12.28</v>
      </c>
      <c r="S467" s="64">
        <f>Table4[[#This Row],[VALUE]]*Table4[[#This Row],[QTD]]</f>
        <v>4027.8399999999997</v>
      </c>
    </row>
    <row r="468" spans="1:19" s="32" customFormat="1" ht="15" hidden="1" customHeight="1" x14ac:dyDescent="0.2">
      <c r="A468" s="60"/>
      <c r="B468" s="44">
        <v>45502</v>
      </c>
      <c r="C468" s="55">
        <v>45505</v>
      </c>
      <c r="D468" s="47" t="s">
        <v>41</v>
      </c>
      <c r="E468" s="85" t="s">
        <v>383</v>
      </c>
      <c r="F468" s="85"/>
      <c r="G468" s="45" t="s">
        <v>75</v>
      </c>
      <c r="H468" s="31">
        <v>1000238</v>
      </c>
      <c r="I468" s="45" t="s">
        <v>42</v>
      </c>
      <c r="J468" s="47" t="s">
        <v>444</v>
      </c>
      <c r="K468" s="31"/>
      <c r="L468" s="45" t="s">
        <v>222</v>
      </c>
      <c r="M468" s="31">
        <v>7901</v>
      </c>
      <c r="N468" s="97">
        <v>371065</v>
      </c>
      <c r="O468" s="34"/>
      <c r="P468" s="175">
        <v>1</v>
      </c>
      <c r="Q468" s="50" t="s">
        <v>26</v>
      </c>
      <c r="R468" s="51">
        <v>491.21</v>
      </c>
      <c r="S468" s="64">
        <f>Table4[[#This Row],[VALUE]]*Table4[[#This Row],[QTD]]</f>
        <v>491.21</v>
      </c>
    </row>
    <row r="469" spans="1:19" s="32" customFormat="1" ht="15" hidden="1" customHeight="1" x14ac:dyDescent="0.2">
      <c r="A469" s="60"/>
      <c r="B469" s="44">
        <v>45502</v>
      </c>
      <c r="C469" s="55">
        <v>45505</v>
      </c>
      <c r="D469" s="47" t="s">
        <v>27</v>
      </c>
      <c r="E469" s="85" t="s">
        <v>383</v>
      </c>
      <c r="F469" s="85"/>
      <c r="G469" s="45" t="s">
        <v>75</v>
      </c>
      <c r="H469" s="97">
        <v>1000287</v>
      </c>
      <c r="I469" s="45" t="s">
        <v>30</v>
      </c>
      <c r="J469" s="47" t="s">
        <v>445</v>
      </c>
      <c r="K469" s="31">
        <v>7020</v>
      </c>
      <c r="L469" s="45" t="s">
        <v>114</v>
      </c>
      <c r="M469" s="79" t="s">
        <v>481</v>
      </c>
      <c r="N469" s="97">
        <v>371065</v>
      </c>
      <c r="O469" s="34"/>
      <c r="P469" s="175">
        <v>426</v>
      </c>
      <c r="Q469" s="50" t="s">
        <v>34</v>
      </c>
      <c r="R469" s="51">
        <v>12.28</v>
      </c>
      <c r="S469" s="64">
        <f>Table4[[#This Row],[VALUE]]*Table4[[#This Row],[QTD]]</f>
        <v>5231.28</v>
      </c>
    </row>
    <row r="470" spans="1:19" s="32" customFormat="1" ht="15" hidden="1" customHeight="1" x14ac:dyDescent="0.2">
      <c r="A470" s="60"/>
      <c r="B470" s="44">
        <v>45502</v>
      </c>
      <c r="C470" s="55">
        <v>45505</v>
      </c>
      <c r="D470" s="47" t="s">
        <v>41</v>
      </c>
      <c r="E470" s="85" t="s">
        <v>383</v>
      </c>
      <c r="F470" s="85"/>
      <c r="G470" s="45" t="s">
        <v>75</v>
      </c>
      <c r="H470" s="31">
        <v>1000238</v>
      </c>
      <c r="I470" s="45" t="s">
        <v>42</v>
      </c>
      <c r="J470" s="47" t="s">
        <v>444</v>
      </c>
      <c r="K470" s="31"/>
      <c r="L470" s="45" t="s">
        <v>222</v>
      </c>
      <c r="M470" s="31">
        <v>7901</v>
      </c>
      <c r="N470" s="97">
        <v>371065</v>
      </c>
      <c r="O470" s="34"/>
      <c r="P470" s="175">
        <v>1</v>
      </c>
      <c r="Q470" s="50" t="s">
        <v>26</v>
      </c>
      <c r="R470" s="51">
        <v>491.21</v>
      </c>
      <c r="S470" s="64">
        <f>Table4[[#This Row],[VALUE]]*Table4[[#This Row],[QTD]]</f>
        <v>491.21</v>
      </c>
    </row>
    <row r="471" spans="1:19" s="32" customFormat="1" ht="15" hidden="1" customHeight="1" x14ac:dyDescent="0.2">
      <c r="A471" s="60"/>
      <c r="B471" s="44">
        <v>45502</v>
      </c>
      <c r="C471" s="55">
        <v>45505</v>
      </c>
      <c r="D471" s="47" t="s">
        <v>27</v>
      </c>
      <c r="E471" s="85" t="s">
        <v>383</v>
      </c>
      <c r="F471" s="85"/>
      <c r="G471" s="45" t="s">
        <v>75</v>
      </c>
      <c r="H471" s="97">
        <v>1000287</v>
      </c>
      <c r="I471" s="45" t="s">
        <v>30</v>
      </c>
      <c r="J471" s="47" t="s">
        <v>445</v>
      </c>
      <c r="K471" s="31">
        <v>7020</v>
      </c>
      <c r="L471" s="45" t="s">
        <v>114</v>
      </c>
      <c r="M471" s="79" t="s">
        <v>481</v>
      </c>
      <c r="N471" s="97">
        <v>371065</v>
      </c>
      <c r="O471" s="34"/>
      <c r="P471" s="175">
        <v>428</v>
      </c>
      <c r="Q471" s="50" t="s">
        <v>34</v>
      </c>
      <c r="R471" s="51">
        <v>12.28</v>
      </c>
      <c r="S471" s="64">
        <f>Table4[[#This Row],[VALUE]]*Table4[[#This Row],[QTD]]</f>
        <v>5255.84</v>
      </c>
    </row>
    <row r="472" spans="1:19" s="32" customFormat="1" ht="15" hidden="1" customHeight="1" x14ac:dyDescent="0.2">
      <c r="A472" s="60"/>
      <c r="B472" s="44">
        <v>45502</v>
      </c>
      <c r="C472" s="55">
        <v>45505</v>
      </c>
      <c r="D472" s="47" t="s">
        <v>41</v>
      </c>
      <c r="E472" s="85" t="s">
        <v>383</v>
      </c>
      <c r="F472" s="85"/>
      <c r="G472" s="45" t="s">
        <v>75</v>
      </c>
      <c r="H472" s="31">
        <v>1000238</v>
      </c>
      <c r="I472" s="45" t="s">
        <v>42</v>
      </c>
      <c r="J472" s="47" t="s">
        <v>444</v>
      </c>
      <c r="K472" s="31"/>
      <c r="L472" s="45" t="s">
        <v>222</v>
      </c>
      <c r="M472" s="31">
        <v>7901</v>
      </c>
      <c r="N472" s="97">
        <v>371065</v>
      </c>
      <c r="O472" s="34"/>
      <c r="P472" s="175">
        <v>1</v>
      </c>
      <c r="Q472" s="50" t="s">
        <v>26</v>
      </c>
      <c r="R472" s="51">
        <v>544.61</v>
      </c>
      <c r="S472" s="64">
        <f>Table4[[#This Row],[VALUE]]*Table4[[#This Row],[QTD]]</f>
        <v>544.61</v>
      </c>
    </row>
    <row r="473" spans="1:19" s="32" customFormat="1" ht="15" hidden="1" customHeight="1" x14ac:dyDescent="0.2">
      <c r="A473" s="60"/>
      <c r="B473" s="44">
        <v>45502</v>
      </c>
      <c r="C473" s="55">
        <v>45505</v>
      </c>
      <c r="D473" s="47" t="s">
        <v>27</v>
      </c>
      <c r="E473" s="85" t="s">
        <v>383</v>
      </c>
      <c r="F473" s="85"/>
      <c r="G473" s="45" t="s">
        <v>75</v>
      </c>
      <c r="H473" s="97">
        <v>1000287</v>
      </c>
      <c r="I473" s="45" t="s">
        <v>30</v>
      </c>
      <c r="J473" s="47" t="s">
        <v>445</v>
      </c>
      <c r="K473" s="31">
        <v>7020</v>
      </c>
      <c r="L473" s="45" t="s">
        <v>114</v>
      </c>
      <c r="M473" s="79" t="s">
        <v>481</v>
      </c>
      <c r="N473" s="97">
        <v>371065</v>
      </c>
      <c r="O473" s="34"/>
      <c r="P473" s="175">
        <v>429</v>
      </c>
      <c r="Q473" s="50" t="s">
        <v>34</v>
      </c>
      <c r="R473" s="51">
        <v>12.28</v>
      </c>
      <c r="S473" s="64">
        <f>Table4[[#This Row],[VALUE]]*Table4[[#This Row],[QTD]]</f>
        <v>5268.12</v>
      </c>
    </row>
    <row r="474" spans="1:19" s="32" customFormat="1" ht="15" hidden="1" customHeight="1" x14ac:dyDescent="0.2">
      <c r="A474" s="60"/>
      <c r="B474" s="44">
        <v>45502</v>
      </c>
      <c r="C474" s="55">
        <v>45505</v>
      </c>
      <c r="D474" s="47" t="s">
        <v>41</v>
      </c>
      <c r="E474" s="85" t="s">
        <v>383</v>
      </c>
      <c r="F474" s="85"/>
      <c r="G474" s="45" t="s">
        <v>75</v>
      </c>
      <c r="H474" s="31">
        <v>1000238</v>
      </c>
      <c r="I474" s="45" t="s">
        <v>42</v>
      </c>
      <c r="J474" s="47" t="s">
        <v>436</v>
      </c>
      <c r="K474" s="31"/>
      <c r="L474" s="45" t="s">
        <v>222</v>
      </c>
      <c r="M474" s="31">
        <v>7901</v>
      </c>
      <c r="N474" s="97">
        <v>371065</v>
      </c>
      <c r="O474" s="34"/>
      <c r="P474" s="176">
        <v>1</v>
      </c>
      <c r="Q474" s="50" t="s">
        <v>26</v>
      </c>
      <c r="R474" s="51">
        <v>360.9</v>
      </c>
      <c r="S474" s="64">
        <f>Table4[[#This Row],[VALUE]]*Table4[[#This Row],[QTD]]</f>
        <v>360.9</v>
      </c>
    </row>
    <row r="475" spans="1:19" s="32" customFormat="1" ht="15" hidden="1" customHeight="1" x14ac:dyDescent="0.2">
      <c r="A475" s="60"/>
      <c r="B475" s="44">
        <v>45502</v>
      </c>
      <c r="C475" s="55">
        <v>45505</v>
      </c>
      <c r="D475" s="47" t="s">
        <v>27</v>
      </c>
      <c r="E475" s="85" t="s">
        <v>383</v>
      </c>
      <c r="F475" s="85"/>
      <c r="G475" s="45" t="s">
        <v>75</v>
      </c>
      <c r="H475" s="97">
        <v>1000287</v>
      </c>
      <c r="I475" s="45" t="s">
        <v>30</v>
      </c>
      <c r="J475" s="47" t="s">
        <v>437</v>
      </c>
      <c r="K475" s="31">
        <v>7020</v>
      </c>
      <c r="L475" s="45" t="s">
        <v>114</v>
      </c>
      <c r="M475" s="79" t="s">
        <v>481</v>
      </c>
      <c r="N475" s="97">
        <v>371065</v>
      </c>
      <c r="O475" s="34"/>
      <c r="P475" s="176">
        <v>425</v>
      </c>
      <c r="Q475" s="50" t="s">
        <v>34</v>
      </c>
      <c r="R475" s="51">
        <v>12.28</v>
      </c>
      <c r="S475" s="64">
        <f>Table4[[#This Row],[VALUE]]*Table4[[#This Row],[QTD]]</f>
        <v>5219</v>
      </c>
    </row>
    <row r="476" spans="1:19" s="32" customFormat="1" ht="15" hidden="1" customHeight="1" x14ac:dyDescent="0.2">
      <c r="A476" s="60"/>
      <c r="B476" s="44">
        <v>45503</v>
      </c>
      <c r="C476" s="55">
        <v>45505</v>
      </c>
      <c r="D476" s="47" t="s">
        <v>41</v>
      </c>
      <c r="E476" s="85" t="s">
        <v>28</v>
      </c>
      <c r="F476" s="85"/>
      <c r="G476" s="45" t="s">
        <v>75</v>
      </c>
      <c r="H476" s="31">
        <v>1000238</v>
      </c>
      <c r="I476" s="45" t="s">
        <v>42</v>
      </c>
      <c r="J476" s="47" t="s">
        <v>434</v>
      </c>
      <c r="K476" s="31"/>
      <c r="L476" s="45" t="s">
        <v>222</v>
      </c>
      <c r="M476" s="31">
        <v>7901</v>
      </c>
      <c r="N476" s="97">
        <v>371094</v>
      </c>
      <c r="O476" s="34"/>
      <c r="P476" s="176">
        <v>1</v>
      </c>
      <c r="Q476" s="50" t="s">
        <v>26</v>
      </c>
      <c r="R476" s="51">
        <v>574.79999999999995</v>
      </c>
      <c r="S476" s="64">
        <f>Table4[[#This Row],[VALUE]]*Table4[[#This Row],[QTD]]</f>
        <v>574.79999999999995</v>
      </c>
    </row>
    <row r="477" spans="1:19" s="32" customFormat="1" ht="15" hidden="1" customHeight="1" x14ac:dyDescent="0.2">
      <c r="A477" s="60"/>
      <c r="B477" s="44">
        <v>45503</v>
      </c>
      <c r="C477" s="55">
        <v>45505</v>
      </c>
      <c r="D477" s="47" t="s">
        <v>27</v>
      </c>
      <c r="E477" s="85" t="s">
        <v>28</v>
      </c>
      <c r="F477" s="85"/>
      <c r="G477" s="45" t="s">
        <v>75</v>
      </c>
      <c r="H477" s="97">
        <v>1000287</v>
      </c>
      <c r="I477" s="45" t="s">
        <v>30</v>
      </c>
      <c r="J477" s="47" t="s">
        <v>435</v>
      </c>
      <c r="K477" s="31">
        <v>7024</v>
      </c>
      <c r="L477" s="45" t="s">
        <v>426</v>
      </c>
      <c r="M477" s="79" t="s">
        <v>482</v>
      </c>
      <c r="N477" s="97">
        <v>371094</v>
      </c>
      <c r="O477" s="34"/>
      <c r="P477" s="175">
        <v>578</v>
      </c>
      <c r="Q477" s="50" t="s">
        <v>34</v>
      </c>
      <c r="R477" s="51">
        <v>12.28</v>
      </c>
      <c r="S477" s="64">
        <f>Table4[[#This Row],[VALUE]]*Table4[[#This Row],[QTD]]</f>
        <v>7097.8399999999992</v>
      </c>
    </row>
    <row r="478" spans="1:19" s="32" customFormat="1" ht="15" hidden="1" customHeight="1" x14ac:dyDescent="0.2">
      <c r="A478" s="60"/>
      <c r="B478" s="44">
        <v>45503</v>
      </c>
      <c r="C478" s="55">
        <v>45505</v>
      </c>
      <c r="D478" s="47" t="s">
        <v>41</v>
      </c>
      <c r="E478" s="85" t="s">
        <v>28</v>
      </c>
      <c r="F478" s="85"/>
      <c r="G478" s="45" t="s">
        <v>75</v>
      </c>
      <c r="H478" s="31">
        <v>1000238</v>
      </c>
      <c r="I478" s="45" t="s">
        <v>42</v>
      </c>
      <c r="J478" s="47" t="s">
        <v>434</v>
      </c>
      <c r="K478" s="31"/>
      <c r="L478" s="45" t="s">
        <v>222</v>
      </c>
      <c r="M478" s="31">
        <v>7901</v>
      </c>
      <c r="N478" s="97">
        <v>371094</v>
      </c>
      <c r="O478" s="34"/>
      <c r="P478" s="176">
        <v>1</v>
      </c>
      <c r="Q478" s="50" t="s">
        <v>26</v>
      </c>
      <c r="R478" s="51">
        <v>805.2</v>
      </c>
      <c r="S478" s="64">
        <f>Table4[[#This Row],[VALUE]]*Table4[[#This Row],[QTD]]</f>
        <v>805.2</v>
      </c>
    </row>
    <row r="479" spans="1:19" s="32" customFormat="1" ht="15" hidden="1" customHeight="1" x14ac:dyDescent="0.2">
      <c r="A479" s="60"/>
      <c r="B479" s="44">
        <v>45503</v>
      </c>
      <c r="C479" s="55">
        <v>45505</v>
      </c>
      <c r="D479" s="47" t="s">
        <v>27</v>
      </c>
      <c r="E479" s="85" t="s">
        <v>28</v>
      </c>
      <c r="F479" s="85"/>
      <c r="G479" s="45" t="s">
        <v>75</v>
      </c>
      <c r="H479" s="97">
        <v>1000287</v>
      </c>
      <c r="I479" s="45" t="s">
        <v>30</v>
      </c>
      <c r="J479" s="47" t="s">
        <v>435</v>
      </c>
      <c r="K479" s="31">
        <v>7024</v>
      </c>
      <c r="L479" s="45" t="s">
        <v>426</v>
      </c>
      <c r="M479" s="79" t="s">
        <v>482</v>
      </c>
      <c r="N479" s="97">
        <v>371094</v>
      </c>
      <c r="O479" s="34"/>
      <c r="P479" s="175">
        <v>619</v>
      </c>
      <c r="Q479" s="50" t="s">
        <v>34</v>
      </c>
      <c r="R479" s="51">
        <v>12.28</v>
      </c>
      <c r="S479" s="64">
        <f>Table4[[#This Row],[VALUE]]*Table4[[#This Row],[QTD]]</f>
        <v>7601.32</v>
      </c>
    </row>
    <row r="480" spans="1:19" s="32" customFormat="1" ht="15" hidden="1" customHeight="1" x14ac:dyDescent="0.2">
      <c r="A480" s="60"/>
      <c r="B480" s="44">
        <v>45503</v>
      </c>
      <c r="C480" s="55">
        <v>45505</v>
      </c>
      <c r="D480" s="47" t="s">
        <v>41</v>
      </c>
      <c r="E480" s="85" t="s">
        <v>28</v>
      </c>
      <c r="F480" s="85"/>
      <c r="G480" s="45" t="s">
        <v>75</v>
      </c>
      <c r="H480" s="31">
        <v>1000238</v>
      </c>
      <c r="I480" s="45" t="s">
        <v>42</v>
      </c>
      <c r="J480" s="47" t="s">
        <v>434</v>
      </c>
      <c r="K480" s="31"/>
      <c r="L480" s="45" t="s">
        <v>222</v>
      </c>
      <c r="M480" s="31">
        <v>7901</v>
      </c>
      <c r="N480" s="97">
        <v>371094</v>
      </c>
      <c r="O480" s="34"/>
      <c r="P480" s="176">
        <v>1</v>
      </c>
      <c r="Q480" s="50" t="s">
        <v>26</v>
      </c>
      <c r="R480" s="51">
        <v>805.2</v>
      </c>
      <c r="S480" s="64">
        <f>Table4[[#This Row],[VALUE]]*Table4[[#This Row],[QTD]]</f>
        <v>805.2</v>
      </c>
    </row>
    <row r="481" spans="1:19" s="32" customFormat="1" ht="15" hidden="1" customHeight="1" x14ac:dyDescent="0.2">
      <c r="A481" s="60"/>
      <c r="B481" s="44">
        <v>45503</v>
      </c>
      <c r="C481" s="55">
        <v>45505</v>
      </c>
      <c r="D481" s="47" t="s">
        <v>27</v>
      </c>
      <c r="E481" s="85" t="s">
        <v>28</v>
      </c>
      <c r="F481" s="85"/>
      <c r="G481" s="45" t="s">
        <v>75</v>
      </c>
      <c r="H481" s="97">
        <v>1000287</v>
      </c>
      <c r="I481" s="45" t="s">
        <v>30</v>
      </c>
      <c r="J481" s="47" t="s">
        <v>435</v>
      </c>
      <c r="K481" s="31">
        <v>7024</v>
      </c>
      <c r="L481" s="45" t="s">
        <v>426</v>
      </c>
      <c r="M481" s="79" t="s">
        <v>482</v>
      </c>
      <c r="N481" s="97">
        <v>371094</v>
      </c>
      <c r="O481" s="34"/>
      <c r="P481" s="175">
        <v>623</v>
      </c>
      <c r="Q481" s="50" t="s">
        <v>34</v>
      </c>
      <c r="R481" s="51">
        <v>12.28</v>
      </c>
      <c r="S481" s="64">
        <f>Table4[[#This Row],[VALUE]]*Table4[[#This Row],[QTD]]</f>
        <v>7650.44</v>
      </c>
    </row>
    <row r="482" spans="1:19" s="32" customFormat="1" ht="15" hidden="1" customHeight="1" x14ac:dyDescent="0.2">
      <c r="A482" s="60"/>
      <c r="B482" s="44">
        <v>45504</v>
      </c>
      <c r="C482" s="55">
        <v>45505</v>
      </c>
      <c r="D482" s="47" t="s">
        <v>41</v>
      </c>
      <c r="E482" s="85" t="s">
        <v>74</v>
      </c>
      <c r="F482" s="85"/>
      <c r="G482" s="45" t="s">
        <v>75</v>
      </c>
      <c r="H482" s="31">
        <v>1000238</v>
      </c>
      <c r="I482" s="45" t="s">
        <v>42</v>
      </c>
      <c r="J482" s="47" t="s">
        <v>438</v>
      </c>
      <c r="K482" s="31"/>
      <c r="L482" s="45" t="s">
        <v>222</v>
      </c>
      <c r="M482" s="31">
        <v>7901</v>
      </c>
      <c r="N482" s="97">
        <v>371045</v>
      </c>
      <c r="O482" s="34"/>
      <c r="P482" s="176">
        <v>1</v>
      </c>
      <c r="Q482" s="50" t="s">
        <v>26</v>
      </c>
      <c r="R482" s="51">
        <v>181.3</v>
      </c>
      <c r="S482" s="64">
        <f>Table4[[#This Row],[VALUE]]*Table4[[#This Row],[QTD]]</f>
        <v>181.3</v>
      </c>
    </row>
    <row r="483" spans="1:19" s="32" customFormat="1" ht="15" hidden="1" customHeight="1" x14ac:dyDescent="0.2">
      <c r="A483" s="60"/>
      <c r="B483" s="44">
        <v>45504</v>
      </c>
      <c r="C483" s="55">
        <v>45505</v>
      </c>
      <c r="D483" s="47" t="s">
        <v>27</v>
      </c>
      <c r="E483" s="85" t="s">
        <v>74</v>
      </c>
      <c r="F483" s="85"/>
      <c r="G483" s="45" t="s">
        <v>75</v>
      </c>
      <c r="H483" s="97">
        <v>1000287</v>
      </c>
      <c r="I483" s="45" t="s">
        <v>30</v>
      </c>
      <c r="J483" s="47" t="s">
        <v>439</v>
      </c>
      <c r="K483" s="31">
        <v>4007</v>
      </c>
      <c r="L483" s="45" t="s">
        <v>39</v>
      </c>
      <c r="M483" s="79" t="s">
        <v>483</v>
      </c>
      <c r="N483" s="97">
        <v>371045</v>
      </c>
      <c r="O483" s="34"/>
      <c r="P483" s="175">
        <v>125</v>
      </c>
      <c r="Q483" s="50" t="s">
        <v>34</v>
      </c>
      <c r="R483" s="51">
        <v>12.28</v>
      </c>
      <c r="S483" s="64">
        <f>Table4[[#This Row],[VALUE]]*Table4[[#This Row],[QTD]]</f>
        <v>1535</v>
      </c>
    </row>
    <row r="484" spans="1:19" s="32" customFormat="1" ht="15" hidden="1" customHeight="1" x14ac:dyDescent="0.2">
      <c r="A484" s="60"/>
      <c r="B484" s="44">
        <v>45504</v>
      </c>
      <c r="C484" s="55">
        <v>45505</v>
      </c>
      <c r="D484" s="47" t="s">
        <v>41</v>
      </c>
      <c r="E484" s="85" t="s">
        <v>74</v>
      </c>
      <c r="F484" s="85"/>
      <c r="G484" s="45" t="s">
        <v>75</v>
      </c>
      <c r="H484" s="31">
        <v>1000238</v>
      </c>
      <c r="I484" s="45" t="s">
        <v>42</v>
      </c>
      <c r="J484" s="47" t="s">
        <v>440</v>
      </c>
      <c r="K484" s="31"/>
      <c r="L484" s="45" t="s">
        <v>222</v>
      </c>
      <c r="M484" s="31">
        <v>7901</v>
      </c>
      <c r="N484" s="97">
        <v>371045</v>
      </c>
      <c r="O484" s="34"/>
      <c r="P484" s="175">
        <v>1</v>
      </c>
      <c r="Q484" s="50" t="s">
        <v>26</v>
      </c>
      <c r="R484" s="51">
        <v>181.3</v>
      </c>
      <c r="S484" s="64">
        <f>Table4[[#This Row],[VALUE]]*Table4[[#This Row],[QTD]]</f>
        <v>181.3</v>
      </c>
    </row>
    <row r="485" spans="1:19" s="32" customFormat="1" ht="15" hidden="1" customHeight="1" x14ac:dyDescent="0.2">
      <c r="A485" s="60"/>
      <c r="B485" s="44">
        <v>45504</v>
      </c>
      <c r="C485" s="55">
        <v>45505</v>
      </c>
      <c r="D485" s="47" t="s">
        <v>27</v>
      </c>
      <c r="E485" s="85" t="s">
        <v>74</v>
      </c>
      <c r="F485" s="85"/>
      <c r="G485" s="45" t="s">
        <v>75</v>
      </c>
      <c r="H485" s="97">
        <v>1000287</v>
      </c>
      <c r="I485" s="45" t="s">
        <v>30</v>
      </c>
      <c r="J485" s="45" t="s">
        <v>441</v>
      </c>
      <c r="K485" s="31"/>
      <c r="L485" s="45" t="s">
        <v>222</v>
      </c>
      <c r="M485" s="31">
        <v>7901</v>
      </c>
      <c r="N485" s="97">
        <v>371045</v>
      </c>
      <c r="O485" s="34"/>
      <c r="P485" s="175">
        <v>125</v>
      </c>
      <c r="Q485" s="50" t="s">
        <v>34</v>
      </c>
      <c r="R485" s="51">
        <v>12.28</v>
      </c>
      <c r="S485" s="64">
        <f>Table4[[#This Row],[VALUE]]*Table4[[#This Row],[QTD]]</f>
        <v>1535</v>
      </c>
    </row>
    <row r="486" spans="1:19" s="40" customFormat="1" ht="15" hidden="1" customHeight="1" x14ac:dyDescent="0.2">
      <c r="A486" s="60"/>
      <c r="B486" s="44">
        <v>45455</v>
      </c>
      <c r="C486" s="99">
        <v>45474</v>
      </c>
      <c r="D486" s="45" t="s">
        <v>285</v>
      </c>
      <c r="E486" s="85" t="s">
        <v>74</v>
      </c>
      <c r="F486" s="85"/>
      <c r="G486" s="45" t="s">
        <v>287</v>
      </c>
      <c r="H486" s="97" t="s">
        <v>288</v>
      </c>
      <c r="I486" s="45" t="s">
        <v>289</v>
      </c>
      <c r="J486" s="45" t="s">
        <v>446</v>
      </c>
      <c r="K486" s="97" t="s">
        <v>263</v>
      </c>
      <c r="L486" s="45" t="s">
        <v>222</v>
      </c>
      <c r="M486" s="97">
        <v>7901</v>
      </c>
      <c r="N486" s="97">
        <v>371045</v>
      </c>
      <c r="O486" s="39">
        <v>10792042</v>
      </c>
      <c r="P486" s="177">
        <v>14</v>
      </c>
      <c r="Q486" s="50" t="s">
        <v>26</v>
      </c>
      <c r="R486" s="51">
        <v>14</v>
      </c>
      <c r="S486" s="64">
        <f>Table4[[#This Row],[VALUE]]*Table4[[#This Row],[QTD]]</f>
        <v>196</v>
      </c>
    </row>
    <row r="487" spans="1:19" s="41" customFormat="1" ht="15" hidden="1" customHeight="1" x14ac:dyDescent="0.2">
      <c r="A487" s="60"/>
      <c r="B487" s="46">
        <v>45455</v>
      </c>
      <c r="C487" s="55">
        <v>45474</v>
      </c>
      <c r="D487" s="45" t="s">
        <v>285</v>
      </c>
      <c r="E487" s="85" t="s">
        <v>260</v>
      </c>
      <c r="F487" s="85"/>
      <c r="G487" s="45" t="s">
        <v>287</v>
      </c>
      <c r="H487" s="97" t="s">
        <v>288</v>
      </c>
      <c r="I487" s="45" t="s">
        <v>289</v>
      </c>
      <c r="J487" s="45" t="s">
        <v>447</v>
      </c>
      <c r="K487" s="31"/>
      <c r="L487" s="45" t="s">
        <v>222</v>
      </c>
      <c r="M487" s="97">
        <v>7901</v>
      </c>
      <c r="N487" s="97">
        <v>371068</v>
      </c>
      <c r="O487" s="34"/>
      <c r="P487" s="175">
        <v>1</v>
      </c>
      <c r="Q487" s="50" t="s">
        <v>26</v>
      </c>
      <c r="R487" s="51">
        <v>155</v>
      </c>
      <c r="S487" s="64">
        <f>Table4[[#This Row],[VALUE]]*Table4[[#This Row],[QTD]]</f>
        <v>155</v>
      </c>
    </row>
    <row r="488" spans="1:19" s="41" customFormat="1" ht="15" hidden="1" customHeight="1" x14ac:dyDescent="0.2">
      <c r="A488" s="60"/>
      <c r="B488" s="46">
        <v>45411</v>
      </c>
      <c r="C488" s="55">
        <v>45413</v>
      </c>
      <c r="D488" s="45" t="s">
        <v>285</v>
      </c>
      <c r="E488" s="85" t="s">
        <v>260</v>
      </c>
      <c r="F488" s="85"/>
      <c r="G488" s="45" t="s">
        <v>287</v>
      </c>
      <c r="H488" s="97" t="s">
        <v>288</v>
      </c>
      <c r="I488" s="45" t="s">
        <v>289</v>
      </c>
      <c r="J488" s="45" t="s">
        <v>489</v>
      </c>
      <c r="K488" s="31"/>
      <c r="L488" s="45" t="s">
        <v>222</v>
      </c>
      <c r="M488" s="97">
        <v>7901</v>
      </c>
      <c r="N488" s="97">
        <v>371068</v>
      </c>
      <c r="O488" s="34"/>
      <c r="P488" s="175">
        <v>2</v>
      </c>
      <c r="Q488" s="50" t="s">
        <v>26</v>
      </c>
      <c r="R488" s="51">
        <v>177</v>
      </c>
      <c r="S488" s="64">
        <f>Table4[[#This Row],[VALUE]]*Table4[[#This Row],[QTD]]</f>
        <v>354</v>
      </c>
    </row>
    <row r="489" spans="1:19" s="41" customFormat="1" ht="15" hidden="1" customHeight="1" x14ac:dyDescent="0.2">
      <c r="A489" s="60"/>
      <c r="B489" s="46">
        <v>45411</v>
      </c>
      <c r="C489" s="55">
        <v>45413</v>
      </c>
      <c r="D489" s="45" t="s">
        <v>285</v>
      </c>
      <c r="E489" s="85" t="s">
        <v>260</v>
      </c>
      <c r="F489" s="85"/>
      <c r="G489" s="45" t="s">
        <v>287</v>
      </c>
      <c r="H489" s="97" t="s">
        <v>288</v>
      </c>
      <c r="I489" s="45" t="s">
        <v>289</v>
      </c>
      <c r="J489" s="34" t="s">
        <v>308</v>
      </c>
      <c r="K489" s="31"/>
      <c r="L489" s="45" t="s">
        <v>222</v>
      </c>
      <c r="M489" s="97">
        <v>7901</v>
      </c>
      <c r="N489" s="97">
        <v>371068</v>
      </c>
      <c r="O489" s="34"/>
      <c r="P489" s="175">
        <v>20</v>
      </c>
      <c r="Q489" s="50" t="s">
        <v>26</v>
      </c>
      <c r="R489" s="51">
        <v>13</v>
      </c>
      <c r="S489" s="64">
        <f>Table4[[#This Row],[VALUE]]*Table4[[#This Row],[QTD]]</f>
        <v>260</v>
      </c>
    </row>
    <row r="490" spans="1:19" s="41" customFormat="1" ht="15" hidden="1" customHeight="1" x14ac:dyDescent="0.2">
      <c r="A490" s="60"/>
      <c r="B490" s="46">
        <v>45411</v>
      </c>
      <c r="C490" s="55">
        <v>45413</v>
      </c>
      <c r="D490" s="45" t="s">
        <v>285</v>
      </c>
      <c r="E490" s="85" t="s">
        <v>260</v>
      </c>
      <c r="F490" s="85"/>
      <c r="G490" s="45" t="s">
        <v>287</v>
      </c>
      <c r="H490" s="97" t="s">
        <v>288</v>
      </c>
      <c r="I490" s="45" t="s">
        <v>289</v>
      </c>
      <c r="J490" s="34" t="s">
        <v>308</v>
      </c>
      <c r="K490" s="31"/>
      <c r="L490" s="45" t="s">
        <v>222</v>
      </c>
      <c r="M490" s="97">
        <v>7901</v>
      </c>
      <c r="N490" s="97">
        <v>371068</v>
      </c>
      <c r="O490" s="34"/>
      <c r="P490" s="175">
        <v>36</v>
      </c>
      <c r="Q490" s="50" t="s">
        <v>26</v>
      </c>
      <c r="R490" s="51">
        <v>5</v>
      </c>
      <c r="S490" s="64">
        <f>Table4[[#This Row],[VALUE]]*Table4[[#This Row],[QTD]]</f>
        <v>180</v>
      </c>
    </row>
    <row r="491" spans="1:19" s="41" customFormat="1" ht="15" hidden="1" customHeight="1" x14ac:dyDescent="0.2">
      <c r="A491" s="60"/>
      <c r="B491" s="46">
        <v>45411</v>
      </c>
      <c r="C491" s="55">
        <v>45413</v>
      </c>
      <c r="D491" s="45" t="s">
        <v>285</v>
      </c>
      <c r="E491" s="85" t="s">
        <v>260</v>
      </c>
      <c r="F491" s="85"/>
      <c r="G491" s="45" t="s">
        <v>287</v>
      </c>
      <c r="H491" s="97" t="s">
        <v>288</v>
      </c>
      <c r="I491" s="45" t="s">
        <v>289</v>
      </c>
      <c r="J491" s="34" t="s">
        <v>308</v>
      </c>
      <c r="K491" s="31"/>
      <c r="L491" s="45" t="s">
        <v>222</v>
      </c>
      <c r="M491" s="97">
        <v>7901</v>
      </c>
      <c r="N491" s="97">
        <v>371068</v>
      </c>
      <c r="O491" s="34"/>
      <c r="P491" s="175">
        <v>6</v>
      </c>
      <c r="Q491" s="50" t="s">
        <v>26</v>
      </c>
      <c r="R491" s="51">
        <v>3.5</v>
      </c>
      <c r="S491" s="64">
        <f>Table4[[#This Row],[VALUE]]*Table4[[#This Row],[QTD]]</f>
        <v>21</v>
      </c>
    </row>
    <row r="492" spans="1:19" s="41" customFormat="1" ht="15" hidden="1" customHeight="1" x14ac:dyDescent="0.2">
      <c r="A492" s="60"/>
      <c r="B492" s="46">
        <v>45411</v>
      </c>
      <c r="C492" s="55">
        <v>45413</v>
      </c>
      <c r="D492" s="45" t="s">
        <v>285</v>
      </c>
      <c r="E492" s="85" t="s">
        <v>260</v>
      </c>
      <c r="F492" s="85"/>
      <c r="G492" s="45" t="s">
        <v>287</v>
      </c>
      <c r="H492" s="97" t="s">
        <v>288</v>
      </c>
      <c r="I492" s="45" t="s">
        <v>289</v>
      </c>
      <c r="J492" s="45" t="s">
        <v>293</v>
      </c>
      <c r="K492" s="31"/>
      <c r="L492" s="45" t="s">
        <v>222</v>
      </c>
      <c r="M492" s="97">
        <v>7901</v>
      </c>
      <c r="N492" s="97">
        <v>371068</v>
      </c>
      <c r="O492" s="34"/>
      <c r="P492" s="175">
        <v>4</v>
      </c>
      <c r="Q492" s="50" t="s">
        <v>26</v>
      </c>
      <c r="R492" s="51">
        <v>127</v>
      </c>
      <c r="S492" s="64">
        <f>Table4[[#This Row],[VALUE]]*Table4[[#This Row],[QTD]]</f>
        <v>508</v>
      </c>
    </row>
    <row r="493" spans="1:19" s="41" customFormat="1" ht="15" hidden="1" customHeight="1" x14ac:dyDescent="0.2">
      <c r="A493" s="60"/>
      <c r="B493" s="46">
        <v>45411</v>
      </c>
      <c r="C493" s="55">
        <v>45413</v>
      </c>
      <c r="D493" s="45" t="s">
        <v>285</v>
      </c>
      <c r="E493" s="85" t="s">
        <v>260</v>
      </c>
      <c r="F493" s="85"/>
      <c r="G493" s="45" t="s">
        <v>287</v>
      </c>
      <c r="H493" s="97" t="s">
        <v>288</v>
      </c>
      <c r="I493" s="45" t="s">
        <v>289</v>
      </c>
      <c r="J493" s="34" t="s">
        <v>293</v>
      </c>
      <c r="K493" s="31"/>
      <c r="L493" s="45" t="s">
        <v>222</v>
      </c>
      <c r="M493" s="97">
        <v>7901</v>
      </c>
      <c r="N493" s="97">
        <v>371068</v>
      </c>
      <c r="O493" s="34"/>
      <c r="P493" s="175">
        <v>4</v>
      </c>
      <c r="Q493" s="50" t="s">
        <v>26</v>
      </c>
      <c r="R493" s="51">
        <v>127</v>
      </c>
      <c r="S493" s="64">
        <f>Table4[[#This Row],[VALUE]]*Table4[[#This Row],[QTD]]</f>
        <v>508</v>
      </c>
    </row>
    <row r="494" spans="1:19" s="41" customFormat="1" ht="15" hidden="1" customHeight="1" x14ac:dyDescent="0.2">
      <c r="A494" s="60"/>
      <c r="B494" s="46">
        <v>45411</v>
      </c>
      <c r="C494" s="55">
        <v>45413</v>
      </c>
      <c r="D494" s="45" t="s">
        <v>285</v>
      </c>
      <c r="E494" s="85" t="s">
        <v>260</v>
      </c>
      <c r="F494" s="85"/>
      <c r="G494" s="45" t="s">
        <v>287</v>
      </c>
      <c r="H494" s="97" t="s">
        <v>288</v>
      </c>
      <c r="I494" s="45" t="s">
        <v>289</v>
      </c>
      <c r="J494" s="34" t="s">
        <v>293</v>
      </c>
      <c r="K494" s="31"/>
      <c r="L494" s="45" t="s">
        <v>222</v>
      </c>
      <c r="M494" s="97">
        <v>7901</v>
      </c>
      <c r="N494" s="97">
        <v>371068</v>
      </c>
      <c r="O494" s="34"/>
      <c r="P494" s="175">
        <v>4</v>
      </c>
      <c r="Q494" s="50" t="s">
        <v>26</v>
      </c>
      <c r="R494" s="51">
        <v>127</v>
      </c>
      <c r="S494" s="64">
        <f>Table4[[#This Row],[VALUE]]*Table4[[#This Row],[QTD]]</f>
        <v>508</v>
      </c>
    </row>
    <row r="495" spans="1:19" s="41" customFormat="1" ht="15" hidden="1" customHeight="1" x14ac:dyDescent="0.2">
      <c r="A495" s="60"/>
      <c r="B495" s="46">
        <v>45411</v>
      </c>
      <c r="C495" s="55">
        <v>45413</v>
      </c>
      <c r="D495" s="45" t="s">
        <v>285</v>
      </c>
      <c r="E495" s="85" t="s">
        <v>260</v>
      </c>
      <c r="F495" s="85"/>
      <c r="G495" s="45" t="s">
        <v>287</v>
      </c>
      <c r="H495" s="97" t="s">
        <v>288</v>
      </c>
      <c r="I495" s="45" t="s">
        <v>289</v>
      </c>
      <c r="J495" s="34" t="s">
        <v>308</v>
      </c>
      <c r="K495" s="31"/>
      <c r="L495" s="45" t="s">
        <v>222</v>
      </c>
      <c r="M495" s="97">
        <v>7901</v>
      </c>
      <c r="N495" s="97">
        <v>371068</v>
      </c>
      <c r="O495" s="34"/>
      <c r="P495" s="175">
        <v>10</v>
      </c>
      <c r="Q495" s="50" t="s">
        <v>26</v>
      </c>
      <c r="R495" s="51">
        <v>8.5</v>
      </c>
      <c r="S495" s="64">
        <f>Table4[[#This Row],[VALUE]]*Table4[[#This Row],[QTD]]</f>
        <v>85</v>
      </c>
    </row>
    <row r="496" spans="1:19" s="41" customFormat="1" ht="15" hidden="1" customHeight="1" x14ac:dyDescent="0.2">
      <c r="A496" s="60"/>
      <c r="B496" s="46">
        <v>45411</v>
      </c>
      <c r="C496" s="55">
        <v>45413</v>
      </c>
      <c r="D496" s="45" t="s">
        <v>285</v>
      </c>
      <c r="E496" s="85" t="s">
        <v>260</v>
      </c>
      <c r="F496" s="85"/>
      <c r="G496" s="45" t="s">
        <v>287</v>
      </c>
      <c r="H496" s="97" t="s">
        <v>288</v>
      </c>
      <c r="I496" s="45" t="s">
        <v>289</v>
      </c>
      <c r="J496" s="34" t="s">
        <v>293</v>
      </c>
      <c r="K496" s="31"/>
      <c r="L496" s="45" t="s">
        <v>222</v>
      </c>
      <c r="M496" s="97">
        <v>7901</v>
      </c>
      <c r="N496" s="97">
        <v>371068</v>
      </c>
      <c r="O496" s="34"/>
      <c r="P496" s="175">
        <v>4</v>
      </c>
      <c r="Q496" s="50" t="s">
        <v>26</v>
      </c>
      <c r="R496" s="51">
        <v>127</v>
      </c>
      <c r="S496" s="64">
        <f>Table4[[#This Row],[VALUE]]*Table4[[#This Row],[QTD]]</f>
        <v>508</v>
      </c>
    </row>
    <row r="497" spans="1:19" s="41" customFormat="1" ht="15" hidden="1" customHeight="1" x14ac:dyDescent="0.2">
      <c r="A497" s="60"/>
      <c r="B497" s="46">
        <v>45411</v>
      </c>
      <c r="C497" s="55">
        <v>45413</v>
      </c>
      <c r="D497" s="45" t="s">
        <v>285</v>
      </c>
      <c r="E497" s="85" t="s">
        <v>260</v>
      </c>
      <c r="F497" s="85"/>
      <c r="G497" s="45" t="s">
        <v>287</v>
      </c>
      <c r="H497" s="97" t="s">
        <v>288</v>
      </c>
      <c r="I497" s="45" t="s">
        <v>289</v>
      </c>
      <c r="J497" s="34" t="s">
        <v>307</v>
      </c>
      <c r="K497" s="31"/>
      <c r="L497" s="45" t="s">
        <v>222</v>
      </c>
      <c r="M497" s="97">
        <v>7901</v>
      </c>
      <c r="N497" s="97">
        <v>371068</v>
      </c>
      <c r="O497" s="34"/>
      <c r="P497" s="175">
        <v>10</v>
      </c>
      <c r="Q497" s="50" t="s">
        <v>26</v>
      </c>
      <c r="R497" s="51">
        <v>67</v>
      </c>
      <c r="S497" s="64">
        <f>Table4[[#This Row],[VALUE]]*Table4[[#This Row],[QTD]]</f>
        <v>670</v>
      </c>
    </row>
    <row r="498" spans="1:19" s="41" customFormat="1" ht="15" hidden="1" customHeight="1" x14ac:dyDescent="0.2">
      <c r="A498" s="60"/>
      <c r="B498" s="46">
        <v>45411</v>
      </c>
      <c r="C498" s="55">
        <v>45413</v>
      </c>
      <c r="D498" s="45" t="s">
        <v>285</v>
      </c>
      <c r="E498" s="85" t="s">
        <v>260</v>
      </c>
      <c r="F498" s="85"/>
      <c r="G498" s="45" t="s">
        <v>287</v>
      </c>
      <c r="H498" s="97" t="s">
        <v>288</v>
      </c>
      <c r="I498" s="45" t="s">
        <v>289</v>
      </c>
      <c r="J498" s="34" t="s">
        <v>448</v>
      </c>
      <c r="K498" s="31"/>
      <c r="L498" s="45" t="s">
        <v>222</v>
      </c>
      <c r="M498" s="97">
        <v>7901</v>
      </c>
      <c r="N498" s="97">
        <v>371068</v>
      </c>
      <c r="O498" s="34"/>
      <c r="P498" s="175">
        <v>4</v>
      </c>
      <c r="Q498" s="50" t="s">
        <v>26</v>
      </c>
      <c r="R498" s="51">
        <v>47</v>
      </c>
      <c r="S498" s="64">
        <f>Table4[[#This Row],[VALUE]]*Table4[[#This Row],[QTD]]</f>
        <v>188</v>
      </c>
    </row>
    <row r="499" spans="1:19" s="41" customFormat="1" ht="15" hidden="1" customHeight="1" x14ac:dyDescent="0.2">
      <c r="A499" s="60"/>
      <c r="B499" s="46">
        <v>45411</v>
      </c>
      <c r="C499" s="55">
        <v>45413</v>
      </c>
      <c r="D499" s="45" t="s">
        <v>285</v>
      </c>
      <c r="E499" s="85" t="s">
        <v>260</v>
      </c>
      <c r="F499" s="85"/>
      <c r="G499" s="45" t="s">
        <v>287</v>
      </c>
      <c r="H499" s="97" t="s">
        <v>288</v>
      </c>
      <c r="I499" s="45" t="s">
        <v>289</v>
      </c>
      <c r="J499" s="45" t="s">
        <v>449</v>
      </c>
      <c r="K499" s="31"/>
      <c r="L499" s="45" t="s">
        <v>222</v>
      </c>
      <c r="M499" s="97">
        <v>7901</v>
      </c>
      <c r="N499" s="97">
        <v>371068</v>
      </c>
      <c r="O499" s="34"/>
      <c r="P499" s="175">
        <v>10</v>
      </c>
      <c r="Q499" s="50" t="s">
        <v>26</v>
      </c>
      <c r="R499" s="51">
        <v>36</v>
      </c>
      <c r="S499" s="64">
        <f>Table4[[#This Row],[VALUE]]*Table4[[#This Row],[QTD]]</f>
        <v>360</v>
      </c>
    </row>
    <row r="500" spans="1:19" s="41" customFormat="1" ht="15" hidden="1" customHeight="1" x14ac:dyDescent="0.2">
      <c r="A500" s="60"/>
      <c r="B500" s="46">
        <v>45411</v>
      </c>
      <c r="C500" s="55">
        <v>45413</v>
      </c>
      <c r="D500" s="45" t="s">
        <v>285</v>
      </c>
      <c r="E500" s="85" t="s">
        <v>260</v>
      </c>
      <c r="F500" s="85"/>
      <c r="G500" s="45" t="s">
        <v>287</v>
      </c>
      <c r="H500" s="97" t="s">
        <v>288</v>
      </c>
      <c r="I500" s="45" t="s">
        <v>289</v>
      </c>
      <c r="J500" s="45" t="s">
        <v>450</v>
      </c>
      <c r="K500" s="31"/>
      <c r="L500" s="45" t="s">
        <v>222</v>
      </c>
      <c r="M500" s="97">
        <v>7901</v>
      </c>
      <c r="N500" s="97">
        <v>371068</v>
      </c>
      <c r="O500" s="34"/>
      <c r="P500" s="175">
        <v>1</v>
      </c>
      <c r="Q500" s="50" t="s">
        <v>26</v>
      </c>
      <c r="R500" s="51">
        <v>67</v>
      </c>
      <c r="S500" s="64">
        <f>Table4[[#This Row],[VALUE]]*Table4[[#This Row],[QTD]]</f>
        <v>67</v>
      </c>
    </row>
    <row r="501" spans="1:19" s="41" customFormat="1" ht="15" hidden="1" customHeight="1" x14ac:dyDescent="0.2">
      <c r="A501" s="60"/>
      <c r="B501" s="46">
        <v>45411</v>
      </c>
      <c r="C501" s="55">
        <v>45413</v>
      </c>
      <c r="D501" s="45" t="s">
        <v>285</v>
      </c>
      <c r="E501" s="85" t="s">
        <v>260</v>
      </c>
      <c r="F501" s="85"/>
      <c r="G501" s="45" t="s">
        <v>287</v>
      </c>
      <c r="H501" s="97" t="s">
        <v>288</v>
      </c>
      <c r="I501" s="45" t="s">
        <v>289</v>
      </c>
      <c r="J501" s="45" t="s">
        <v>451</v>
      </c>
      <c r="K501" s="31"/>
      <c r="L501" s="45" t="s">
        <v>222</v>
      </c>
      <c r="M501" s="97">
        <v>7901</v>
      </c>
      <c r="N501" s="97">
        <v>371068</v>
      </c>
      <c r="O501" s="34"/>
      <c r="P501" s="175">
        <v>15</v>
      </c>
      <c r="Q501" s="50" t="s">
        <v>26</v>
      </c>
      <c r="R501" s="51">
        <v>14.4</v>
      </c>
      <c r="S501" s="64">
        <f>Table4[[#This Row],[VALUE]]*Table4[[#This Row],[QTD]]</f>
        <v>216</v>
      </c>
    </row>
    <row r="502" spans="1:19" s="41" customFormat="1" ht="15" hidden="1" customHeight="1" x14ac:dyDescent="0.2">
      <c r="A502" s="60"/>
      <c r="B502" s="46">
        <v>45411</v>
      </c>
      <c r="C502" s="55">
        <v>45413</v>
      </c>
      <c r="D502" s="45" t="s">
        <v>285</v>
      </c>
      <c r="E502" s="85" t="s">
        <v>260</v>
      </c>
      <c r="F502" s="85"/>
      <c r="G502" s="45" t="s">
        <v>287</v>
      </c>
      <c r="H502" s="97" t="s">
        <v>288</v>
      </c>
      <c r="I502" s="45" t="s">
        <v>289</v>
      </c>
      <c r="J502" s="45" t="s">
        <v>452</v>
      </c>
      <c r="K502" s="31"/>
      <c r="L502" s="45" t="s">
        <v>222</v>
      </c>
      <c r="M502" s="97">
        <v>7901</v>
      </c>
      <c r="N502" s="97">
        <v>371068</v>
      </c>
      <c r="O502" s="34"/>
      <c r="P502" s="175">
        <v>4</v>
      </c>
      <c r="Q502" s="50" t="s">
        <v>26</v>
      </c>
      <c r="R502" s="51">
        <v>11.5</v>
      </c>
      <c r="S502" s="64">
        <f>Table4[[#This Row],[VALUE]]*Table4[[#This Row],[QTD]]</f>
        <v>46</v>
      </c>
    </row>
    <row r="503" spans="1:19" s="41" customFormat="1" ht="15" hidden="1" customHeight="1" x14ac:dyDescent="0.2">
      <c r="A503" s="60"/>
      <c r="B503" s="46">
        <v>45411</v>
      </c>
      <c r="C503" s="55">
        <v>45413</v>
      </c>
      <c r="D503" s="45" t="s">
        <v>285</v>
      </c>
      <c r="E503" s="85" t="s">
        <v>260</v>
      </c>
      <c r="F503" s="85"/>
      <c r="G503" s="45" t="s">
        <v>287</v>
      </c>
      <c r="H503" s="97" t="s">
        <v>288</v>
      </c>
      <c r="I503" s="45" t="s">
        <v>289</v>
      </c>
      <c r="J503" s="34" t="s">
        <v>308</v>
      </c>
      <c r="K503" s="31"/>
      <c r="L503" s="45" t="s">
        <v>222</v>
      </c>
      <c r="M503" s="97">
        <v>7901</v>
      </c>
      <c r="N503" s="97">
        <v>371068</v>
      </c>
      <c r="O503" s="34"/>
      <c r="P503" s="175">
        <v>4</v>
      </c>
      <c r="Q503" s="50" t="s">
        <v>26</v>
      </c>
      <c r="R503" s="51">
        <v>30</v>
      </c>
      <c r="S503" s="64">
        <f>Table4[[#This Row],[VALUE]]*Table4[[#This Row],[QTD]]</f>
        <v>120</v>
      </c>
    </row>
    <row r="504" spans="1:19" s="41" customFormat="1" ht="15" hidden="1" customHeight="1" x14ac:dyDescent="0.2">
      <c r="A504" s="60"/>
      <c r="B504" s="46">
        <v>45411</v>
      </c>
      <c r="C504" s="55">
        <v>45413</v>
      </c>
      <c r="D504" s="45" t="s">
        <v>285</v>
      </c>
      <c r="E504" s="85" t="s">
        <v>260</v>
      </c>
      <c r="F504" s="85"/>
      <c r="G504" s="45" t="s">
        <v>287</v>
      </c>
      <c r="H504" s="97" t="s">
        <v>288</v>
      </c>
      <c r="I504" s="45" t="s">
        <v>289</v>
      </c>
      <c r="J504" s="34" t="s">
        <v>308</v>
      </c>
      <c r="K504" s="31"/>
      <c r="L504" s="45" t="s">
        <v>222</v>
      </c>
      <c r="M504" s="97">
        <v>7901</v>
      </c>
      <c r="N504" s="97">
        <v>371068</v>
      </c>
      <c r="O504" s="34"/>
      <c r="P504" s="175">
        <v>2</v>
      </c>
      <c r="Q504" s="50" t="s">
        <v>26</v>
      </c>
      <c r="R504" s="51">
        <v>67</v>
      </c>
      <c r="S504" s="64">
        <f>Table4[[#This Row],[VALUE]]*Table4[[#This Row],[QTD]]</f>
        <v>134</v>
      </c>
    </row>
    <row r="505" spans="1:19" s="41" customFormat="1" ht="15" hidden="1" customHeight="1" x14ac:dyDescent="0.2">
      <c r="A505" s="60"/>
      <c r="B505" s="46">
        <v>45411</v>
      </c>
      <c r="C505" s="55">
        <v>45413</v>
      </c>
      <c r="D505" s="45" t="s">
        <v>285</v>
      </c>
      <c r="E505" s="85" t="s">
        <v>260</v>
      </c>
      <c r="F505" s="85"/>
      <c r="G505" s="45" t="s">
        <v>287</v>
      </c>
      <c r="H505" s="97" t="s">
        <v>288</v>
      </c>
      <c r="I505" s="45" t="s">
        <v>289</v>
      </c>
      <c r="J505" s="45" t="s">
        <v>451</v>
      </c>
      <c r="K505" s="31"/>
      <c r="L505" s="45" t="s">
        <v>222</v>
      </c>
      <c r="M505" s="97">
        <v>7901</v>
      </c>
      <c r="N505" s="97">
        <v>371068</v>
      </c>
      <c r="O505" s="34"/>
      <c r="P505" s="175">
        <v>2</v>
      </c>
      <c r="Q505" s="50" t="s">
        <v>26</v>
      </c>
      <c r="R505" s="51">
        <v>67</v>
      </c>
      <c r="S505" s="64">
        <f>Table4[[#This Row],[VALUE]]*Table4[[#This Row],[QTD]]</f>
        <v>134</v>
      </c>
    </row>
    <row r="506" spans="1:19" s="41" customFormat="1" ht="15" hidden="1" customHeight="1" x14ac:dyDescent="0.2">
      <c r="A506" s="60"/>
      <c r="B506" s="46">
        <v>45411</v>
      </c>
      <c r="C506" s="55">
        <v>45413</v>
      </c>
      <c r="D506" s="45" t="s">
        <v>285</v>
      </c>
      <c r="E506" s="85" t="s">
        <v>260</v>
      </c>
      <c r="F506" s="85"/>
      <c r="G506" s="45" t="s">
        <v>287</v>
      </c>
      <c r="H506" s="97" t="s">
        <v>288</v>
      </c>
      <c r="I506" s="45" t="s">
        <v>289</v>
      </c>
      <c r="J506" s="45" t="s">
        <v>451</v>
      </c>
      <c r="K506" s="31"/>
      <c r="L506" s="45" t="s">
        <v>222</v>
      </c>
      <c r="M506" s="97">
        <v>7901</v>
      </c>
      <c r="N506" s="97">
        <v>371068</v>
      </c>
      <c r="O506" s="34"/>
      <c r="P506" s="175">
        <v>2</v>
      </c>
      <c r="Q506" s="50" t="s">
        <v>26</v>
      </c>
      <c r="R506" s="51">
        <v>67</v>
      </c>
      <c r="S506" s="64">
        <f>Table4[[#This Row],[VALUE]]*Table4[[#This Row],[QTD]]</f>
        <v>134</v>
      </c>
    </row>
    <row r="507" spans="1:19" s="41" customFormat="1" ht="15" hidden="1" customHeight="1" x14ac:dyDescent="0.2">
      <c r="A507" s="60"/>
      <c r="B507" s="46">
        <v>45411</v>
      </c>
      <c r="C507" s="55">
        <v>45413</v>
      </c>
      <c r="D507" s="45" t="s">
        <v>285</v>
      </c>
      <c r="E507" s="85" t="s">
        <v>260</v>
      </c>
      <c r="F507" s="85"/>
      <c r="G507" s="45" t="s">
        <v>287</v>
      </c>
      <c r="H507" s="97" t="s">
        <v>288</v>
      </c>
      <c r="I507" s="45" t="s">
        <v>289</v>
      </c>
      <c r="J507" s="45" t="s">
        <v>451</v>
      </c>
      <c r="K507" s="31"/>
      <c r="L507" s="45" t="s">
        <v>222</v>
      </c>
      <c r="M507" s="97">
        <v>7901</v>
      </c>
      <c r="N507" s="97">
        <v>371068</v>
      </c>
      <c r="O507" s="34"/>
      <c r="P507" s="175">
        <v>2</v>
      </c>
      <c r="Q507" s="50" t="s">
        <v>26</v>
      </c>
      <c r="R507" s="51">
        <v>67</v>
      </c>
      <c r="S507" s="64">
        <f>Table4[[#This Row],[VALUE]]*Table4[[#This Row],[QTD]]</f>
        <v>134</v>
      </c>
    </row>
    <row r="508" spans="1:19" s="41" customFormat="1" ht="15" hidden="1" customHeight="1" x14ac:dyDescent="0.2">
      <c r="A508" s="60"/>
      <c r="B508" s="46">
        <v>45411</v>
      </c>
      <c r="C508" s="55">
        <v>45413</v>
      </c>
      <c r="D508" s="45" t="s">
        <v>285</v>
      </c>
      <c r="E508" s="85" t="s">
        <v>260</v>
      </c>
      <c r="F508" s="85"/>
      <c r="G508" s="45" t="s">
        <v>287</v>
      </c>
      <c r="H508" s="97" t="s">
        <v>288</v>
      </c>
      <c r="I508" s="45" t="s">
        <v>289</v>
      </c>
      <c r="J508" s="45" t="s">
        <v>451</v>
      </c>
      <c r="K508" s="31"/>
      <c r="L508" s="45" t="s">
        <v>222</v>
      </c>
      <c r="M508" s="97">
        <v>7901</v>
      </c>
      <c r="N508" s="97">
        <v>371068</v>
      </c>
      <c r="O508" s="34"/>
      <c r="P508" s="175">
        <v>2</v>
      </c>
      <c r="Q508" s="50" t="s">
        <v>26</v>
      </c>
      <c r="R508" s="51">
        <v>67</v>
      </c>
      <c r="S508" s="64">
        <f>Table4[[#This Row],[VALUE]]*Table4[[#This Row],[QTD]]</f>
        <v>134</v>
      </c>
    </row>
    <row r="509" spans="1:19" s="41" customFormat="1" ht="15" hidden="1" customHeight="1" x14ac:dyDescent="0.2">
      <c r="A509" s="60"/>
      <c r="B509" s="46">
        <v>45411</v>
      </c>
      <c r="C509" s="55">
        <v>45413</v>
      </c>
      <c r="D509" s="45" t="s">
        <v>285</v>
      </c>
      <c r="E509" s="85" t="s">
        <v>260</v>
      </c>
      <c r="F509" s="85"/>
      <c r="G509" s="45" t="s">
        <v>287</v>
      </c>
      <c r="H509" s="97" t="s">
        <v>288</v>
      </c>
      <c r="I509" s="45" t="s">
        <v>289</v>
      </c>
      <c r="J509" s="34" t="s">
        <v>308</v>
      </c>
      <c r="K509" s="31"/>
      <c r="L509" s="45" t="s">
        <v>222</v>
      </c>
      <c r="M509" s="97">
        <v>7901</v>
      </c>
      <c r="N509" s="97">
        <v>371068</v>
      </c>
      <c r="O509" s="34"/>
      <c r="P509" s="175">
        <v>4</v>
      </c>
      <c r="Q509" s="50" t="s">
        <v>26</v>
      </c>
      <c r="R509" s="51">
        <v>5</v>
      </c>
      <c r="S509" s="64">
        <f>Table4[[#This Row],[VALUE]]*Table4[[#This Row],[QTD]]</f>
        <v>20</v>
      </c>
    </row>
    <row r="510" spans="1:19" s="41" customFormat="1" ht="15" hidden="1" customHeight="1" x14ac:dyDescent="0.2">
      <c r="A510" s="60"/>
      <c r="B510" s="46">
        <v>45411</v>
      </c>
      <c r="C510" s="55">
        <v>45413</v>
      </c>
      <c r="D510" s="45" t="s">
        <v>285</v>
      </c>
      <c r="E510" s="85" t="s">
        <v>260</v>
      </c>
      <c r="F510" s="85"/>
      <c r="G510" s="45" t="s">
        <v>287</v>
      </c>
      <c r="H510" s="97" t="s">
        <v>288</v>
      </c>
      <c r="I510" s="45" t="s">
        <v>289</v>
      </c>
      <c r="J510" s="45" t="s">
        <v>451</v>
      </c>
      <c r="K510" s="31"/>
      <c r="L510" s="45" t="s">
        <v>222</v>
      </c>
      <c r="M510" s="97">
        <v>7901</v>
      </c>
      <c r="N510" s="97">
        <v>371068</v>
      </c>
      <c r="O510" s="34"/>
      <c r="P510" s="175">
        <v>1</v>
      </c>
      <c r="Q510" s="50" t="s">
        <v>26</v>
      </c>
      <c r="R510" s="51">
        <v>36</v>
      </c>
      <c r="S510" s="64">
        <f>Table4[[#This Row],[VALUE]]*Table4[[#This Row],[QTD]]</f>
        <v>36</v>
      </c>
    </row>
    <row r="511" spans="1:19" s="41" customFormat="1" ht="15" hidden="1" customHeight="1" x14ac:dyDescent="0.2">
      <c r="A511" s="60"/>
      <c r="B511" s="46">
        <v>45411</v>
      </c>
      <c r="C511" s="55">
        <v>45413</v>
      </c>
      <c r="D511" s="45" t="s">
        <v>285</v>
      </c>
      <c r="E511" s="85" t="s">
        <v>260</v>
      </c>
      <c r="F511" s="85"/>
      <c r="G511" s="45" t="s">
        <v>287</v>
      </c>
      <c r="H511" s="97" t="s">
        <v>288</v>
      </c>
      <c r="I511" s="45" t="s">
        <v>289</v>
      </c>
      <c r="J511" s="34" t="s">
        <v>308</v>
      </c>
      <c r="K511" s="31"/>
      <c r="L511" s="45" t="s">
        <v>222</v>
      </c>
      <c r="M511" s="97">
        <v>7901</v>
      </c>
      <c r="N511" s="97">
        <v>371068</v>
      </c>
      <c r="O511" s="34"/>
      <c r="P511" s="175">
        <v>2</v>
      </c>
      <c r="Q511" s="50" t="s">
        <v>26</v>
      </c>
      <c r="R511" s="51">
        <v>10</v>
      </c>
      <c r="S511" s="64">
        <f>Table4[[#This Row],[VALUE]]*Table4[[#This Row],[QTD]]</f>
        <v>20</v>
      </c>
    </row>
    <row r="512" spans="1:19" s="41" customFormat="1" ht="15" hidden="1" customHeight="1" x14ac:dyDescent="0.2">
      <c r="A512" s="60"/>
      <c r="B512" s="46">
        <v>45411</v>
      </c>
      <c r="C512" s="55">
        <v>45413</v>
      </c>
      <c r="D512" s="45" t="s">
        <v>285</v>
      </c>
      <c r="E512" s="85" t="s">
        <v>260</v>
      </c>
      <c r="F512" s="85"/>
      <c r="G512" s="45" t="s">
        <v>287</v>
      </c>
      <c r="H512" s="97" t="s">
        <v>288</v>
      </c>
      <c r="I512" s="45" t="s">
        <v>289</v>
      </c>
      <c r="J512" s="34" t="s">
        <v>308</v>
      </c>
      <c r="K512" s="31"/>
      <c r="L512" s="45" t="s">
        <v>222</v>
      </c>
      <c r="M512" s="97">
        <v>7901</v>
      </c>
      <c r="N512" s="97">
        <v>371068</v>
      </c>
      <c r="O512" s="34"/>
      <c r="P512" s="175">
        <v>2</v>
      </c>
      <c r="Q512" s="50" t="s">
        <v>26</v>
      </c>
      <c r="R512" s="51">
        <v>10</v>
      </c>
      <c r="S512" s="64">
        <f>Table4[[#This Row],[VALUE]]*Table4[[#This Row],[QTD]]</f>
        <v>20</v>
      </c>
    </row>
    <row r="513" spans="1:19" s="41" customFormat="1" ht="15" hidden="1" customHeight="1" x14ac:dyDescent="0.2">
      <c r="A513" s="60"/>
      <c r="B513" s="46">
        <v>45411</v>
      </c>
      <c r="C513" s="55">
        <v>45413</v>
      </c>
      <c r="D513" s="45" t="s">
        <v>285</v>
      </c>
      <c r="E513" s="85" t="s">
        <v>260</v>
      </c>
      <c r="F513" s="85"/>
      <c r="G513" s="45" t="s">
        <v>287</v>
      </c>
      <c r="H513" s="97" t="s">
        <v>288</v>
      </c>
      <c r="I513" s="45" t="s">
        <v>289</v>
      </c>
      <c r="J513" s="34" t="s">
        <v>308</v>
      </c>
      <c r="K513" s="31"/>
      <c r="L513" s="45" t="s">
        <v>222</v>
      </c>
      <c r="M513" s="97">
        <v>7901</v>
      </c>
      <c r="N513" s="97">
        <v>371068</v>
      </c>
      <c r="O513" s="34"/>
      <c r="P513" s="175">
        <v>6</v>
      </c>
      <c r="Q513" s="50" t="s">
        <v>26</v>
      </c>
      <c r="R513" s="51">
        <v>10</v>
      </c>
      <c r="S513" s="64">
        <f>Table4[[#This Row],[VALUE]]*Table4[[#This Row],[QTD]]</f>
        <v>60</v>
      </c>
    </row>
    <row r="514" spans="1:19" s="41" customFormat="1" ht="15" hidden="1" customHeight="1" x14ac:dyDescent="0.2">
      <c r="A514" s="60"/>
      <c r="B514" s="46">
        <v>45411</v>
      </c>
      <c r="C514" s="55">
        <v>45413</v>
      </c>
      <c r="D514" s="45" t="s">
        <v>285</v>
      </c>
      <c r="E514" s="85" t="s">
        <v>260</v>
      </c>
      <c r="F514" s="85"/>
      <c r="G514" s="45" t="s">
        <v>287</v>
      </c>
      <c r="H514" s="97" t="s">
        <v>288</v>
      </c>
      <c r="I514" s="45" t="s">
        <v>289</v>
      </c>
      <c r="J514" s="45" t="s">
        <v>453</v>
      </c>
      <c r="K514" s="31"/>
      <c r="L514" s="45" t="s">
        <v>222</v>
      </c>
      <c r="M514" s="97">
        <v>7901</v>
      </c>
      <c r="N514" s="97">
        <v>371068</v>
      </c>
      <c r="O514" s="34"/>
      <c r="P514" s="175">
        <v>6</v>
      </c>
      <c r="Q514" s="50" t="s">
        <v>26</v>
      </c>
      <c r="R514" s="51">
        <v>278</v>
      </c>
      <c r="S514" s="64">
        <f>Table4[[#This Row],[VALUE]]*Table4[[#This Row],[QTD]]</f>
        <v>1668</v>
      </c>
    </row>
    <row r="515" spans="1:19" s="41" customFormat="1" ht="15" hidden="1" customHeight="1" x14ac:dyDescent="0.2">
      <c r="A515" s="60"/>
      <c r="B515" s="46">
        <v>45411</v>
      </c>
      <c r="C515" s="55">
        <v>45413</v>
      </c>
      <c r="D515" s="45" t="s">
        <v>285</v>
      </c>
      <c r="E515" s="85" t="s">
        <v>260</v>
      </c>
      <c r="F515" s="85"/>
      <c r="G515" s="45" t="s">
        <v>287</v>
      </c>
      <c r="H515" s="97" t="s">
        <v>288</v>
      </c>
      <c r="I515" s="45" t="s">
        <v>289</v>
      </c>
      <c r="J515" s="34" t="s">
        <v>308</v>
      </c>
      <c r="K515" s="31"/>
      <c r="L515" s="45" t="s">
        <v>222</v>
      </c>
      <c r="M515" s="97">
        <v>7901</v>
      </c>
      <c r="N515" s="97">
        <v>371068</v>
      </c>
      <c r="O515" s="34"/>
      <c r="P515" s="175">
        <v>3</v>
      </c>
      <c r="Q515" s="50" t="s">
        <v>26</v>
      </c>
      <c r="R515" s="51">
        <v>13</v>
      </c>
      <c r="S515" s="86">
        <f>Table4[[#This Row],[VALUE]]*Table4[[#This Row],[QTD]]</f>
        <v>39</v>
      </c>
    </row>
    <row r="516" spans="1:19" s="41" customFormat="1" ht="15" hidden="1" customHeight="1" x14ac:dyDescent="0.2">
      <c r="A516" s="60"/>
      <c r="B516" s="46">
        <v>45411</v>
      </c>
      <c r="C516" s="55">
        <v>45413</v>
      </c>
      <c r="D516" s="45" t="s">
        <v>285</v>
      </c>
      <c r="E516" s="85" t="s">
        <v>260</v>
      </c>
      <c r="F516" s="85"/>
      <c r="G516" s="45" t="s">
        <v>287</v>
      </c>
      <c r="H516" s="97" t="s">
        <v>288</v>
      </c>
      <c r="I516" s="45" t="s">
        <v>289</v>
      </c>
      <c r="J516" s="34" t="s">
        <v>308</v>
      </c>
      <c r="K516" s="31"/>
      <c r="L516" s="45" t="s">
        <v>222</v>
      </c>
      <c r="M516" s="97">
        <v>7901</v>
      </c>
      <c r="N516" s="97">
        <v>371068</v>
      </c>
      <c r="O516" s="34"/>
      <c r="P516" s="175">
        <v>40</v>
      </c>
      <c r="Q516" s="50" t="s">
        <v>26</v>
      </c>
      <c r="R516" s="51">
        <v>7.88</v>
      </c>
      <c r="S516" s="86">
        <f>Table4[[#This Row],[VALUE]]*Table4[[#This Row],[QTD]]</f>
        <v>315.2</v>
      </c>
    </row>
    <row r="517" spans="1:19" s="41" customFormat="1" ht="15" hidden="1" customHeight="1" x14ac:dyDescent="0.2">
      <c r="A517" s="60"/>
      <c r="B517" s="46">
        <v>45411</v>
      </c>
      <c r="C517" s="55">
        <v>45413</v>
      </c>
      <c r="D517" s="45" t="s">
        <v>285</v>
      </c>
      <c r="E517" s="85" t="s">
        <v>260</v>
      </c>
      <c r="F517" s="85"/>
      <c r="G517" s="45" t="s">
        <v>287</v>
      </c>
      <c r="H517" s="97" t="s">
        <v>288</v>
      </c>
      <c r="I517" s="45" t="s">
        <v>289</v>
      </c>
      <c r="J517" s="45" t="s">
        <v>454</v>
      </c>
      <c r="K517" s="31"/>
      <c r="L517" s="45" t="s">
        <v>222</v>
      </c>
      <c r="M517" s="97">
        <v>7901</v>
      </c>
      <c r="N517" s="97">
        <v>371068</v>
      </c>
      <c r="O517" s="34"/>
      <c r="P517" s="175">
        <v>12</v>
      </c>
      <c r="Q517" s="50" t="s">
        <v>26</v>
      </c>
      <c r="R517" s="51">
        <v>7.95</v>
      </c>
      <c r="S517" s="64">
        <f>Table4[[#This Row],[VALUE]]*Table4[[#This Row],[QTD]]</f>
        <v>95.4</v>
      </c>
    </row>
    <row r="518" spans="1:19" s="41" customFormat="1" ht="15" hidden="1" customHeight="1" x14ac:dyDescent="0.2">
      <c r="A518" s="60"/>
      <c r="B518" s="46">
        <v>45411</v>
      </c>
      <c r="C518" s="55">
        <v>45413</v>
      </c>
      <c r="D518" s="45" t="s">
        <v>285</v>
      </c>
      <c r="E518" s="85" t="s">
        <v>260</v>
      </c>
      <c r="F518" s="85"/>
      <c r="G518" s="45" t="s">
        <v>287</v>
      </c>
      <c r="H518" s="97" t="s">
        <v>288</v>
      </c>
      <c r="I518" s="45" t="s">
        <v>289</v>
      </c>
      <c r="J518" s="45" t="s">
        <v>455</v>
      </c>
      <c r="K518" s="31"/>
      <c r="L518" s="45" t="s">
        <v>222</v>
      </c>
      <c r="M518" s="97">
        <v>7901</v>
      </c>
      <c r="N518" s="97">
        <v>371068</v>
      </c>
      <c r="O518" s="34"/>
      <c r="P518" s="175">
        <v>9</v>
      </c>
      <c r="Q518" s="50" t="s">
        <v>26</v>
      </c>
      <c r="R518" s="51">
        <v>14.9</v>
      </c>
      <c r="S518" s="64">
        <f>Table4[[#This Row],[VALUE]]*Table4[[#This Row],[QTD]]</f>
        <v>134.1</v>
      </c>
    </row>
    <row r="519" spans="1:19" s="41" customFormat="1" ht="15" hidden="1" customHeight="1" x14ac:dyDescent="0.2">
      <c r="A519" s="60"/>
      <c r="B519" s="46">
        <v>45411</v>
      </c>
      <c r="C519" s="55">
        <v>371068</v>
      </c>
      <c r="D519" s="45" t="s">
        <v>285</v>
      </c>
      <c r="E519" s="85" t="s">
        <v>260</v>
      </c>
      <c r="F519" s="85"/>
      <c r="G519" s="45" t="s">
        <v>287</v>
      </c>
      <c r="H519" s="97" t="s">
        <v>288</v>
      </c>
      <c r="I519" s="45" t="s">
        <v>289</v>
      </c>
      <c r="J519" s="45" t="s">
        <v>456</v>
      </c>
      <c r="K519" s="31"/>
      <c r="L519" s="45" t="s">
        <v>222</v>
      </c>
      <c r="M519" s="97">
        <v>7901</v>
      </c>
      <c r="N519" s="97">
        <v>371068</v>
      </c>
      <c r="O519" s="34"/>
      <c r="P519" s="175">
        <v>8</v>
      </c>
      <c r="Q519" s="50" t="s">
        <v>26</v>
      </c>
      <c r="R519" s="51">
        <v>117</v>
      </c>
      <c r="S519" s="64">
        <f>Table4[[#This Row],[VALUE]]*Table4[[#This Row],[QTD]]</f>
        <v>936</v>
      </c>
    </row>
    <row r="520" spans="1:19" s="41" customFormat="1" ht="15" hidden="1" customHeight="1" x14ac:dyDescent="0.2">
      <c r="A520" s="60"/>
      <c r="B520" s="46">
        <v>45469</v>
      </c>
      <c r="C520" s="55">
        <v>45474</v>
      </c>
      <c r="D520" s="45" t="s">
        <v>285</v>
      </c>
      <c r="E520" s="85" t="s">
        <v>74</v>
      </c>
      <c r="F520" s="85"/>
      <c r="G520" s="45" t="s">
        <v>287</v>
      </c>
      <c r="H520" s="97" t="s">
        <v>288</v>
      </c>
      <c r="I520" s="45" t="s">
        <v>289</v>
      </c>
      <c r="J520" s="45" t="s">
        <v>477</v>
      </c>
      <c r="K520" s="31"/>
      <c r="L520" s="45" t="s">
        <v>222</v>
      </c>
      <c r="M520" s="97">
        <v>7901</v>
      </c>
      <c r="N520" s="97">
        <v>371045</v>
      </c>
      <c r="O520" s="34"/>
      <c r="P520" s="175">
        <v>1</v>
      </c>
      <c r="Q520" s="50" t="s">
        <v>26</v>
      </c>
      <c r="R520" s="51">
        <v>130</v>
      </c>
      <c r="S520" s="64">
        <f>Table4[[#This Row],[VALUE]]*Table4[[#This Row],[QTD]]</f>
        <v>130</v>
      </c>
    </row>
    <row r="521" spans="1:19" s="41" customFormat="1" ht="15" hidden="1" customHeight="1" x14ac:dyDescent="0.2">
      <c r="A521" s="60"/>
      <c r="B521" s="46">
        <v>45469</v>
      </c>
      <c r="C521" s="55">
        <v>45474</v>
      </c>
      <c r="D521" s="45" t="s">
        <v>285</v>
      </c>
      <c r="E521" s="85" t="s">
        <v>74</v>
      </c>
      <c r="F521" s="85"/>
      <c r="G521" s="45" t="s">
        <v>287</v>
      </c>
      <c r="H521" s="97" t="s">
        <v>288</v>
      </c>
      <c r="I521" s="45" t="s">
        <v>289</v>
      </c>
      <c r="J521" s="45" t="s">
        <v>457</v>
      </c>
      <c r="K521" s="31"/>
      <c r="L521" s="45" t="s">
        <v>222</v>
      </c>
      <c r="M521" s="97">
        <v>7901</v>
      </c>
      <c r="N521" s="97">
        <v>371045</v>
      </c>
      <c r="O521" s="34"/>
      <c r="P521" s="175">
        <v>1</v>
      </c>
      <c r="Q521" s="50" t="s">
        <v>26</v>
      </c>
      <c r="R521" s="51">
        <v>127</v>
      </c>
      <c r="S521" s="64">
        <f>Table4[[#This Row],[VALUE]]*Table4[[#This Row],[QTD]]</f>
        <v>127</v>
      </c>
    </row>
    <row r="522" spans="1:19" s="41" customFormat="1" ht="15" hidden="1" customHeight="1" x14ac:dyDescent="0.2">
      <c r="A522" s="60"/>
      <c r="B522" s="46">
        <v>45471</v>
      </c>
      <c r="C522" s="55">
        <v>45474</v>
      </c>
      <c r="D522" s="45" t="s">
        <v>285</v>
      </c>
      <c r="E522" s="85" t="s">
        <v>19</v>
      </c>
      <c r="F522" s="85"/>
      <c r="G522" s="45" t="s">
        <v>287</v>
      </c>
      <c r="H522" s="97" t="s">
        <v>288</v>
      </c>
      <c r="I522" s="45" t="s">
        <v>289</v>
      </c>
      <c r="J522" s="45" t="s">
        <v>458</v>
      </c>
      <c r="K522" s="31"/>
      <c r="L522" s="45" t="s">
        <v>222</v>
      </c>
      <c r="M522" s="97">
        <v>7901</v>
      </c>
      <c r="N522" s="97">
        <v>371075</v>
      </c>
      <c r="O522" s="34"/>
      <c r="P522" s="175">
        <v>4</v>
      </c>
      <c r="Q522" s="50" t="s">
        <v>26</v>
      </c>
      <c r="R522" s="51">
        <v>278</v>
      </c>
      <c r="S522" s="64">
        <f>Table4[[#This Row],[VALUE]]*Table4[[#This Row],[QTD]]</f>
        <v>1112</v>
      </c>
    </row>
    <row r="523" spans="1:19" s="41" customFormat="1" ht="15" hidden="1" customHeight="1" x14ac:dyDescent="0.2">
      <c r="A523" s="60"/>
      <c r="B523" s="46">
        <v>45471</v>
      </c>
      <c r="C523" s="55">
        <v>45474</v>
      </c>
      <c r="D523" s="45" t="s">
        <v>285</v>
      </c>
      <c r="E523" s="85" t="s">
        <v>19</v>
      </c>
      <c r="F523" s="85"/>
      <c r="G523" s="45" t="s">
        <v>287</v>
      </c>
      <c r="H523" s="97" t="s">
        <v>288</v>
      </c>
      <c r="I523" s="45" t="s">
        <v>289</v>
      </c>
      <c r="J523" s="34" t="s">
        <v>308</v>
      </c>
      <c r="K523" s="31"/>
      <c r="L523" s="45" t="s">
        <v>222</v>
      </c>
      <c r="M523" s="97">
        <v>7901</v>
      </c>
      <c r="N523" s="97">
        <v>371075</v>
      </c>
      <c r="O523" s="34"/>
      <c r="P523" s="175">
        <v>2</v>
      </c>
      <c r="Q523" s="50" t="s">
        <v>26</v>
      </c>
      <c r="R523" s="51">
        <v>9</v>
      </c>
      <c r="S523" s="64">
        <f>Table4[[#This Row],[VALUE]]*Table4[[#This Row],[QTD]]</f>
        <v>18</v>
      </c>
    </row>
    <row r="524" spans="1:19" s="41" customFormat="1" ht="15" hidden="1" customHeight="1" x14ac:dyDescent="0.2">
      <c r="A524" s="60"/>
      <c r="B524" s="46">
        <v>45498</v>
      </c>
      <c r="C524" s="55">
        <v>45505</v>
      </c>
      <c r="D524" s="45" t="s">
        <v>285</v>
      </c>
      <c r="E524" s="85" t="s">
        <v>52</v>
      </c>
      <c r="F524" s="85"/>
      <c r="G524" s="45" t="s">
        <v>287</v>
      </c>
      <c r="H524" s="97" t="s">
        <v>288</v>
      </c>
      <c r="I524" s="45" t="s">
        <v>289</v>
      </c>
      <c r="J524" s="45" t="s">
        <v>459</v>
      </c>
      <c r="K524" s="31"/>
      <c r="L524" s="45" t="s">
        <v>222</v>
      </c>
      <c r="M524" s="97">
        <v>7901</v>
      </c>
      <c r="N524" s="97">
        <v>371055</v>
      </c>
      <c r="O524" s="34"/>
      <c r="P524" s="175">
        <v>2</v>
      </c>
      <c r="Q524" s="50" t="s">
        <v>26</v>
      </c>
      <c r="R524" s="51">
        <v>127</v>
      </c>
      <c r="S524" s="64">
        <f>Table4[[#This Row],[VALUE]]*Table4[[#This Row],[QTD]]</f>
        <v>254</v>
      </c>
    </row>
    <row r="525" spans="1:19" s="41" customFormat="1" ht="15" hidden="1" customHeight="1" x14ac:dyDescent="0.2">
      <c r="A525" s="60"/>
      <c r="B525" s="46">
        <v>45498</v>
      </c>
      <c r="C525" s="55">
        <v>45505</v>
      </c>
      <c r="D525" s="45" t="s">
        <v>285</v>
      </c>
      <c r="E525" s="85" t="s">
        <v>52</v>
      </c>
      <c r="F525" s="85"/>
      <c r="G525" s="45" t="s">
        <v>287</v>
      </c>
      <c r="H525" s="97" t="s">
        <v>288</v>
      </c>
      <c r="I525" s="45" t="s">
        <v>289</v>
      </c>
      <c r="J525" s="45" t="s">
        <v>459</v>
      </c>
      <c r="K525" s="31"/>
      <c r="L525" s="45" t="s">
        <v>222</v>
      </c>
      <c r="M525" s="97">
        <v>7901</v>
      </c>
      <c r="N525" s="97">
        <v>371055</v>
      </c>
      <c r="O525" s="34"/>
      <c r="P525" s="175">
        <v>2</v>
      </c>
      <c r="Q525" s="50" t="s">
        <v>26</v>
      </c>
      <c r="R525" s="51">
        <v>127</v>
      </c>
      <c r="S525" s="64">
        <f>Table4[[#This Row],[VALUE]]*Table4[[#This Row],[QTD]]</f>
        <v>254</v>
      </c>
    </row>
    <row r="526" spans="1:19" s="41" customFormat="1" ht="15" hidden="1" customHeight="1" x14ac:dyDescent="0.2">
      <c r="A526" s="60"/>
      <c r="B526" s="46">
        <v>45498</v>
      </c>
      <c r="C526" s="55">
        <v>45505</v>
      </c>
      <c r="D526" s="45" t="s">
        <v>285</v>
      </c>
      <c r="E526" s="85" t="s">
        <v>52</v>
      </c>
      <c r="F526" s="85"/>
      <c r="G526" s="45" t="s">
        <v>287</v>
      </c>
      <c r="H526" s="97" t="s">
        <v>288</v>
      </c>
      <c r="I526" s="45" t="s">
        <v>289</v>
      </c>
      <c r="J526" s="45" t="s">
        <v>459</v>
      </c>
      <c r="K526" s="31"/>
      <c r="L526" s="45" t="s">
        <v>222</v>
      </c>
      <c r="M526" s="97">
        <v>7901</v>
      </c>
      <c r="N526" s="97">
        <v>371055</v>
      </c>
      <c r="O526" s="34"/>
      <c r="P526" s="175">
        <v>2</v>
      </c>
      <c r="Q526" s="50" t="s">
        <v>26</v>
      </c>
      <c r="R526" s="51">
        <v>127</v>
      </c>
      <c r="S526" s="64">
        <f>Table4[[#This Row],[VALUE]]*Table4[[#This Row],[QTD]]</f>
        <v>254</v>
      </c>
    </row>
    <row r="527" spans="1:19" s="41" customFormat="1" ht="15" hidden="1" customHeight="1" x14ac:dyDescent="0.2">
      <c r="A527" s="60"/>
      <c r="B527" s="46">
        <v>45498</v>
      </c>
      <c r="C527" s="55">
        <v>45505</v>
      </c>
      <c r="D527" s="45" t="s">
        <v>285</v>
      </c>
      <c r="E527" s="85" t="s">
        <v>52</v>
      </c>
      <c r="F527" s="85"/>
      <c r="G527" s="45" t="s">
        <v>287</v>
      </c>
      <c r="H527" s="97" t="s">
        <v>288</v>
      </c>
      <c r="I527" s="45" t="s">
        <v>289</v>
      </c>
      <c r="J527" s="45" t="s">
        <v>459</v>
      </c>
      <c r="K527" s="31"/>
      <c r="L527" s="45" t="s">
        <v>222</v>
      </c>
      <c r="M527" s="97">
        <v>7901</v>
      </c>
      <c r="N527" s="97">
        <v>371055</v>
      </c>
      <c r="O527" s="34"/>
      <c r="P527" s="175">
        <v>3</v>
      </c>
      <c r="Q527" s="50" t="s">
        <v>26</v>
      </c>
      <c r="R527" s="51">
        <v>127</v>
      </c>
      <c r="S527" s="64">
        <f>Table4[[#This Row],[VALUE]]*Table4[[#This Row],[QTD]]</f>
        <v>381</v>
      </c>
    </row>
    <row r="528" spans="1:19" s="41" customFormat="1" ht="15" hidden="1" customHeight="1" x14ac:dyDescent="0.2">
      <c r="A528" s="60"/>
      <c r="B528" s="46">
        <v>45498</v>
      </c>
      <c r="C528" s="55">
        <v>45505</v>
      </c>
      <c r="D528" s="45" t="s">
        <v>285</v>
      </c>
      <c r="E528" s="85" t="s">
        <v>52</v>
      </c>
      <c r="F528" s="85"/>
      <c r="G528" s="45" t="s">
        <v>287</v>
      </c>
      <c r="H528" s="97" t="s">
        <v>288</v>
      </c>
      <c r="I528" s="45" t="s">
        <v>289</v>
      </c>
      <c r="J528" s="45" t="s">
        <v>459</v>
      </c>
      <c r="K528" s="31"/>
      <c r="L528" s="45" t="s">
        <v>222</v>
      </c>
      <c r="M528" s="97">
        <v>7901</v>
      </c>
      <c r="N528" s="97">
        <v>371055</v>
      </c>
      <c r="O528" s="34"/>
      <c r="P528" s="175">
        <v>2</v>
      </c>
      <c r="Q528" s="50" t="s">
        <v>26</v>
      </c>
      <c r="R528" s="51">
        <v>127</v>
      </c>
      <c r="S528" s="64">
        <f>Table4[[#This Row],[VALUE]]*Table4[[#This Row],[QTD]]</f>
        <v>254</v>
      </c>
    </row>
    <row r="529" spans="1:19" s="41" customFormat="1" ht="15" hidden="1" customHeight="1" x14ac:dyDescent="0.2">
      <c r="A529" s="60"/>
      <c r="B529" s="46">
        <v>45498</v>
      </c>
      <c r="C529" s="55">
        <v>45505</v>
      </c>
      <c r="D529" s="45" t="s">
        <v>285</v>
      </c>
      <c r="E529" s="85" t="s">
        <v>52</v>
      </c>
      <c r="F529" s="85"/>
      <c r="G529" s="45" t="s">
        <v>287</v>
      </c>
      <c r="H529" s="97" t="s">
        <v>288</v>
      </c>
      <c r="I529" s="45" t="s">
        <v>289</v>
      </c>
      <c r="J529" s="45" t="s">
        <v>458</v>
      </c>
      <c r="K529" s="31"/>
      <c r="L529" s="45" t="s">
        <v>222</v>
      </c>
      <c r="M529" s="97">
        <v>7901</v>
      </c>
      <c r="N529" s="97">
        <v>371055</v>
      </c>
      <c r="O529" s="34"/>
      <c r="P529" s="175">
        <v>2</v>
      </c>
      <c r="Q529" s="50" t="s">
        <v>26</v>
      </c>
      <c r="R529" s="51">
        <v>278</v>
      </c>
      <c r="S529" s="64">
        <f>Table4[[#This Row],[VALUE]]*Table4[[#This Row],[QTD]]</f>
        <v>556</v>
      </c>
    </row>
    <row r="530" spans="1:19" s="41" customFormat="1" ht="15" hidden="1" customHeight="1" x14ac:dyDescent="0.2">
      <c r="A530" s="60"/>
      <c r="B530" s="46">
        <v>45498</v>
      </c>
      <c r="C530" s="55">
        <v>45505</v>
      </c>
      <c r="D530" s="45" t="s">
        <v>285</v>
      </c>
      <c r="E530" s="85" t="s">
        <v>52</v>
      </c>
      <c r="F530" s="85"/>
      <c r="G530" s="45" t="s">
        <v>287</v>
      </c>
      <c r="H530" s="97" t="s">
        <v>288</v>
      </c>
      <c r="I530" s="45" t="s">
        <v>289</v>
      </c>
      <c r="J530" s="45" t="s">
        <v>460</v>
      </c>
      <c r="K530" s="31"/>
      <c r="L530" s="45" t="s">
        <v>222</v>
      </c>
      <c r="M530" s="97">
        <v>7901</v>
      </c>
      <c r="N530" s="97">
        <v>371055</v>
      </c>
      <c r="O530" s="34"/>
      <c r="P530" s="175">
        <v>2</v>
      </c>
      <c r="Q530" s="50" t="s">
        <v>26</v>
      </c>
      <c r="R530" s="51">
        <v>278</v>
      </c>
      <c r="S530" s="64">
        <f>Table4[[#This Row],[VALUE]]*Table4[[#This Row],[QTD]]</f>
        <v>556</v>
      </c>
    </row>
    <row r="531" spans="1:19" s="41" customFormat="1" ht="15" hidden="1" customHeight="1" x14ac:dyDescent="0.2">
      <c r="A531" s="60"/>
      <c r="B531" s="46">
        <v>45498</v>
      </c>
      <c r="C531" s="55">
        <v>45505</v>
      </c>
      <c r="D531" s="45" t="s">
        <v>285</v>
      </c>
      <c r="E531" s="85" t="s">
        <v>52</v>
      </c>
      <c r="F531" s="85"/>
      <c r="G531" s="45" t="s">
        <v>287</v>
      </c>
      <c r="H531" s="97" t="s">
        <v>288</v>
      </c>
      <c r="I531" s="45" t="s">
        <v>289</v>
      </c>
      <c r="J531" s="45" t="s">
        <v>461</v>
      </c>
      <c r="K531" s="31"/>
      <c r="L531" s="45" t="s">
        <v>222</v>
      </c>
      <c r="M531" s="97">
        <v>7901</v>
      </c>
      <c r="N531" s="97">
        <v>371055</v>
      </c>
      <c r="O531" s="34"/>
      <c r="P531" s="175">
        <v>2</v>
      </c>
      <c r="Q531" s="50" t="s">
        <v>26</v>
      </c>
      <c r="R531" s="51">
        <v>317</v>
      </c>
      <c r="S531" s="64">
        <f>Table4[[#This Row],[VALUE]]*Table4[[#This Row],[QTD]]</f>
        <v>634</v>
      </c>
    </row>
    <row r="532" spans="1:19" s="41" customFormat="1" ht="15" hidden="1" customHeight="1" x14ac:dyDescent="0.2">
      <c r="A532" s="60"/>
      <c r="B532" s="46">
        <v>45498</v>
      </c>
      <c r="C532" s="55">
        <v>45505</v>
      </c>
      <c r="D532" s="45" t="s">
        <v>285</v>
      </c>
      <c r="E532" s="85" t="s">
        <v>52</v>
      </c>
      <c r="F532" s="85"/>
      <c r="G532" s="45" t="s">
        <v>287</v>
      </c>
      <c r="H532" s="97" t="s">
        <v>288</v>
      </c>
      <c r="I532" s="45" t="s">
        <v>289</v>
      </c>
      <c r="J532" s="45" t="s">
        <v>453</v>
      </c>
      <c r="K532" s="31"/>
      <c r="L532" s="45" t="s">
        <v>222</v>
      </c>
      <c r="M532" s="97">
        <v>7901</v>
      </c>
      <c r="N532" s="97">
        <v>371055</v>
      </c>
      <c r="O532" s="34"/>
      <c r="P532" s="175">
        <v>2</v>
      </c>
      <c r="Q532" s="50" t="s">
        <v>26</v>
      </c>
      <c r="R532" s="51">
        <v>278</v>
      </c>
      <c r="S532" s="64">
        <f>Table4[[#This Row],[VALUE]]*Table4[[#This Row],[QTD]]</f>
        <v>556</v>
      </c>
    </row>
    <row r="533" spans="1:19" s="41" customFormat="1" ht="15" hidden="1" customHeight="1" x14ac:dyDescent="0.2">
      <c r="A533" s="60"/>
      <c r="B533" s="46">
        <v>45498</v>
      </c>
      <c r="C533" s="55">
        <v>45505</v>
      </c>
      <c r="D533" s="45" t="s">
        <v>285</v>
      </c>
      <c r="E533" s="85" t="s">
        <v>52</v>
      </c>
      <c r="F533" s="85"/>
      <c r="G533" s="45" t="s">
        <v>287</v>
      </c>
      <c r="H533" s="97" t="s">
        <v>288</v>
      </c>
      <c r="I533" s="45" t="s">
        <v>289</v>
      </c>
      <c r="J533" s="45" t="s">
        <v>462</v>
      </c>
      <c r="K533" s="31"/>
      <c r="L533" s="45" t="s">
        <v>222</v>
      </c>
      <c r="M533" s="97">
        <v>7901</v>
      </c>
      <c r="N533" s="97">
        <v>371055</v>
      </c>
      <c r="O533" s="34"/>
      <c r="P533" s="175">
        <v>2</v>
      </c>
      <c r="Q533" s="50" t="s">
        <v>26</v>
      </c>
      <c r="R533" s="51">
        <v>278</v>
      </c>
      <c r="S533" s="64">
        <f>Table4[[#This Row],[VALUE]]*Table4[[#This Row],[QTD]]</f>
        <v>556</v>
      </c>
    </row>
    <row r="534" spans="1:19" s="41" customFormat="1" ht="15" hidden="1" customHeight="1" x14ac:dyDescent="0.2">
      <c r="A534" s="60"/>
      <c r="B534" s="46">
        <v>45498</v>
      </c>
      <c r="C534" s="55">
        <v>45505</v>
      </c>
      <c r="D534" s="45" t="s">
        <v>285</v>
      </c>
      <c r="E534" s="85" t="s">
        <v>52</v>
      </c>
      <c r="F534" s="85"/>
      <c r="G534" s="45" t="s">
        <v>287</v>
      </c>
      <c r="H534" s="97" t="s">
        <v>288</v>
      </c>
      <c r="I534" s="45" t="s">
        <v>289</v>
      </c>
      <c r="J534" s="45" t="s">
        <v>463</v>
      </c>
      <c r="K534" s="31"/>
      <c r="L534" s="45" t="s">
        <v>222</v>
      </c>
      <c r="M534" s="97">
        <v>7901</v>
      </c>
      <c r="N534" s="97">
        <v>371055</v>
      </c>
      <c r="O534" s="34"/>
      <c r="P534" s="175">
        <v>3</v>
      </c>
      <c r="Q534" s="50" t="s">
        <v>26</v>
      </c>
      <c r="R534" s="51">
        <v>377</v>
      </c>
      <c r="S534" s="64">
        <f>Table4[[#This Row],[VALUE]]*Table4[[#This Row],[QTD]]</f>
        <v>1131</v>
      </c>
    </row>
    <row r="535" spans="1:19" s="41" customFormat="1" ht="15" hidden="1" customHeight="1" x14ac:dyDescent="0.2">
      <c r="A535" s="60"/>
      <c r="B535" s="46">
        <v>45498</v>
      </c>
      <c r="C535" s="55">
        <v>45505</v>
      </c>
      <c r="D535" s="45" t="s">
        <v>285</v>
      </c>
      <c r="E535" s="85" t="s">
        <v>52</v>
      </c>
      <c r="F535" s="85"/>
      <c r="G535" s="45" t="s">
        <v>287</v>
      </c>
      <c r="H535" s="97" t="s">
        <v>288</v>
      </c>
      <c r="I535" s="45" t="s">
        <v>289</v>
      </c>
      <c r="J535" s="45" t="s">
        <v>461</v>
      </c>
      <c r="K535" s="31"/>
      <c r="L535" s="45" t="s">
        <v>222</v>
      </c>
      <c r="M535" s="97">
        <v>7901</v>
      </c>
      <c r="N535" s="97">
        <v>371055</v>
      </c>
      <c r="O535" s="34"/>
      <c r="P535" s="175">
        <v>2</v>
      </c>
      <c r="Q535" s="50" t="s">
        <v>26</v>
      </c>
      <c r="R535" s="51">
        <v>317</v>
      </c>
      <c r="S535" s="64">
        <f>Table4[[#This Row],[VALUE]]*Table4[[#This Row],[QTD]]</f>
        <v>634</v>
      </c>
    </row>
    <row r="536" spans="1:19" s="41" customFormat="1" ht="15" hidden="1" customHeight="1" x14ac:dyDescent="0.2">
      <c r="A536" s="60"/>
      <c r="B536" s="46">
        <v>45498</v>
      </c>
      <c r="C536" s="55">
        <v>45505</v>
      </c>
      <c r="D536" s="45" t="s">
        <v>285</v>
      </c>
      <c r="E536" s="85" t="s">
        <v>52</v>
      </c>
      <c r="F536" s="85"/>
      <c r="G536" s="45" t="s">
        <v>287</v>
      </c>
      <c r="H536" s="97" t="s">
        <v>288</v>
      </c>
      <c r="I536" s="45" t="s">
        <v>289</v>
      </c>
      <c r="J536" s="45" t="s">
        <v>453</v>
      </c>
      <c r="K536" s="31"/>
      <c r="L536" s="45" t="s">
        <v>222</v>
      </c>
      <c r="M536" s="97">
        <v>7901</v>
      </c>
      <c r="N536" s="97">
        <v>371055</v>
      </c>
      <c r="O536" s="34"/>
      <c r="P536" s="175">
        <v>2</v>
      </c>
      <c r="Q536" s="50" t="s">
        <v>26</v>
      </c>
      <c r="R536" s="51">
        <v>278</v>
      </c>
      <c r="S536" s="64">
        <f>Table4[[#This Row],[VALUE]]*Table4[[#This Row],[QTD]]</f>
        <v>556</v>
      </c>
    </row>
    <row r="537" spans="1:19" s="41" customFormat="1" ht="15" hidden="1" customHeight="1" x14ac:dyDescent="0.2">
      <c r="A537" s="60"/>
      <c r="B537" s="46">
        <v>45506</v>
      </c>
      <c r="C537" s="55">
        <v>45505</v>
      </c>
      <c r="D537" s="45" t="s">
        <v>285</v>
      </c>
      <c r="E537" s="85" t="s">
        <v>464</v>
      </c>
      <c r="F537" s="85"/>
      <c r="G537" s="45" t="s">
        <v>287</v>
      </c>
      <c r="H537" s="97" t="s">
        <v>288</v>
      </c>
      <c r="I537" s="45" t="s">
        <v>289</v>
      </c>
      <c r="J537" s="45" t="s">
        <v>446</v>
      </c>
      <c r="K537" s="31"/>
      <c r="L537" s="45" t="s">
        <v>222</v>
      </c>
      <c r="M537" s="97">
        <v>7901</v>
      </c>
      <c r="N537" s="97">
        <v>375030</v>
      </c>
      <c r="O537" s="34"/>
      <c r="P537" s="175">
        <v>10</v>
      </c>
      <c r="Q537" s="50" t="s">
        <v>26</v>
      </c>
      <c r="R537" s="51">
        <v>14</v>
      </c>
      <c r="S537" s="64">
        <f>Table4[[#This Row],[VALUE]]*Table4[[#This Row],[QTD]]</f>
        <v>140</v>
      </c>
    </row>
    <row r="538" spans="1:19" s="41" customFormat="1" ht="15" hidden="1" customHeight="1" x14ac:dyDescent="0.2">
      <c r="A538" s="60"/>
      <c r="B538" s="46">
        <v>45506</v>
      </c>
      <c r="C538" s="55">
        <v>45505</v>
      </c>
      <c r="D538" s="45" t="s">
        <v>285</v>
      </c>
      <c r="E538" s="85" t="s">
        <v>74</v>
      </c>
      <c r="F538" s="85"/>
      <c r="G538" s="45" t="s">
        <v>287</v>
      </c>
      <c r="H538" s="97" t="s">
        <v>288</v>
      </c>
      <c r="I538" s="45" t="s">
        <v>289</v>
      </c>
      <c r="J538" s="45" t="s">
        <v>295</v>
      </c>
      <c r="K538" s="31"/>
      <c r="L538" s="45" t="s">
        <v>222</v>
      </c>
      <c r="M538" s="97">
        <v>7901</v>
      </c>
      <c r="N538" s="97">
        <v>371045</v>
      </c>
      <c r="O538" s="34"/>
      <c r="P538" s="175">
        <v>1</v>
      </c>
      <c r="Q538" s="50" t="s">
        <v>26</v>
      </c>
      <c r="R538" s="51">
        <v>238</v>
      </c>
      <c r="S538" s="64">
        <f>Table4[[#This Row],[VALUE]]*Table4[[#This Row],[QTD]]</f>
        <v>238</v>
      </c>
    </row>
    <row r="539" spans="1:19" s="41" customFormat="1" ht="15" hidden="1" customHeight="1" x14ac:dyDescent="0.2">
      <c r="A539" s="60"/>
      <c r="B539" s="46">
        <v>45506</v>
      </c>
      <c r="C539" s="55">
        <v>45505</v>
      </c>
      <c r="D539" s="45" t="s">
        <v>285</v>
      </c>
      <c r="E539" s="85" t="s">
        <v>74</v>
      </c>
      <c r="F539" s="85"/>
      <c r="G539" s="45" t="s">
        <v>287</v>
      </c>
      <c r="H539" s="97" t="s">
        <v>288</v>
      </c>
      <c r="I539" s="45" t="s">
        <v>289</v>
      </c>
      <c r="J539" s="45" t="s">
        <v>465</v>
      </c>
      <c r="K539" s="31"/>
      <c r="L539" s="45" t="s">
        <v>222</v>
      </c>
      <c r="M539" s="97">
        <v>7901</v>
      </c>
      <c r="N539" s="97">
        <v>371045</v>
      </c>
      <c r="O539" s="34"/>
      <c r="P539" s="175">
        <v>1</v>
      </c>
      <c r="Q539" s="50" t="s">
        <v>26</v>
      </c>
      <c r="R539" s="51">
        <v>320</v>
      </c>
      <c r="S539" s="64">
        <f>Table4[[#This Row],[VALUE]]*Table4[[#This Row],[QTD]]</f>
        <v>320</v>
      </c>
    </row>
    <row r="540" spans="1:19" s="41" customFormat="1" ht="15" hidden="1" customHeight="1" x14ac:dyDescent="0.2">
      <c r="A540" s="60"/>
      <c r="B540" s="46">
        <v>45406</v>
      </c>
      <c r="C540" s="55">
        <v>45505</v>
      </c>
      <c r="D540" s="45" t="s">
        <v>285</v>
      </c>
      <c r="E540" s="85" t="s">
        <v>383</v>
      </c>
      <c r="F540" s="85"/>
      <c r="G540" s="45" t="s">
        <v>287</v>
      </c>
      <c r="H540" s="97" t="s">
        <v>288</v>
      </c>
      <c r="I540" s="45" t="s">
        <v>289</v>
      </c>
      <c r="J540" s="34" t="s">
        <v>308</v>
      </c>
      <c r="K540" s="31"/>
      <c r="L540" s="45" t="s">
        <v>222</v>
      </c>
      <c r="M540" s="97">
        <v>7901</v>
      </c>
      <c r="N540" s="97">
        <v>371065</v>
      </c>
      <c r="O540" s="34"/>
      <c r="P540" s="175">
        <v>1</v>
      </c>
      <c r="Q540" s="50" t="s">
        <v>26</v>
      </c>
      <c r="R540" s="51">
        <v>30</v>
      </c>
      <c r="S540" s="64">
        <f>Table4[[#This Row],[VALUE]]*Table4[[#This Row],[QTD]]</f>
        <v>30</v>
      </c>
    </row>
    <row r="541" spans="1:19" s="41" customFormat="1" ht="15" hidden="1" customHeight="1" x14ac:dyDescent="0.2">
      <c r="A541" s="60"/>
      <c r="B541" s="46">
        <v>45406</v>
      </c>
      <c r="C541" s="55">
        <v>45505</v>
      </c>
      <c r="D541" s="45" t="s">
        <v>285</v>
      </c>
      <c r="E541" s="85" t="s">
        <v>383</v>
      </c>
      <c r="F541" s="85"/>
      <c r="G541" s="45" t="s">
        <v>287</v>
      </c>
      <c r="H541" s="97" t="s">
        <v>288</v>
      </c>
      <c r="I541" s="45" t="s">
        <v>289</v>
      </c>
      <c r="J541" s="45" t="s">
        <v>466</v>
      </c>
      <c r="K541" s="31"/>
      <c r="L541" s="45" t="s">
        <v>222</v>
      </c>
      <c r="M541" s="97">
        <v>7901</v>
      </c>
      <c r="N541" s="97">
        <v>371065</v>
      </c>
      <c r="O541" s="34"/>
      <c r="P541" s="175">
        <v>1</v>
      </c>
      <c r="Q541" s="50" t="s">
        <v>26</v>
      </c>
      <c r="R541" s="51">
        <v>30</v>
      </c>
      <c r="S541" s="64">
        <f>Table4[[#This Row],[VALUE]]*Table4[[#This Row],[QTD]]</f>
        <v>30</v>
      </c>
    </row>
    <row r="542" spans="1:19" s="41" customFormat="1" ht="15" hidden="1" customHeight="1" x14ac:dyDescent="0.2">
      <c r="A542" s="60"/>
      <c r="B542" s="46">
        <v>45406</v>
      </c>
      <c r="C542" s="55">
        <v>45505</v>
      </c>
      <c r="D542" s="45" t="s">
        <v>285</v>
      </c>
      <c r="E542" s="85" t="s">
        <v>383</v>
      </c>
      <c r="F542" s="85"/>
      <c r="G542" s="45" t="s">
        <v>287</v>
      </c>
      <c r="H542" s="97" t="s">
        <v>288</v>
      </c>
      <c r="I542" s="45" t="s">
        <v>289</v>
      </c>
      <c r="J542" s="34" t="s">
        <v>308</v>
      </c>
      <c r="K542" s="31"/>
      <c r="L542" s="45" t="s">
        <v>222</v>
      </c>
      <c r="M542" s="97">
        <v>7901</v>
      </c>
      <c r="N542" s="97">
        <v>371065</v>
      </c>
      <c r="O542" s="34"/>
      <c r="P542" s="175">
        <v>1</v>
      </c>
      <c r="Q542" s="50" t="s">
        <v>26</v>
      </c>
      <c r="R542" s="51">
        <v>30</v>
      </c>
      <c r="S542" s="64">
        <f>Table4[[#This Row],[VALUE]]*Table4[[#This Row],[QTD]]</f>
        <v>30</v>
      </c>
    </row>
    <row r="543" spans="1:19" s="41" customFormat="1" ht="15" hidden="1" customHeight="1" x14ac:dyDescent="0.2">
      <c r="A543" s="60"/>
      <c r="B543" s="46">
        <v>45406</v>
      </c>
      <c r="C543" s="55">
        <v>45505</v>
      </c>
      <c r="D543" s="45" t="s">
        <v>285</v>
      </c>
      <c r="E543" s="85" t="s">
        <v>383</v>
      </c>
      <c r="F543" s="85"/>
      <c r="G543" s="45" t="s">
        <v>287</v>
      </c>
      <c r="H543" s="97" t="s">
        <v>288</v>
      </c>
      <c r="I543" s="45" t="s">
        <v>289</v>
      </c>
      <c r="J543" s="45" t="s">
        <v>467</v>
      </c>
      <c r="K543" s="31"/>
      <c r="L543" s="45" t="s">
        <v>222</v>
      </c>
      <c r="M543" s="97">
        <v>7901</v>
      </c>
      <c r="N543" s="97">
        <v>371065</v>
      </c>
      <c r="O543" s="34"/>
      <c r="P543" s="175">
        <v>1</v>
      </c>
      <c r="Q543" s="50" t="s">
        <v>26</v>
      </c>
      <c r="R543" s="51">
        <v>14.9</v>
      </c>
      <c r="S543" s="64">
        <f>Table4[[#This Row],[VALUE]]*Table4[[#This Row],[QTD]]</f>
        <v>14.9</v>
      </c>
    </row>
    <row r="544" spans="1:19" s="41" customFormat="1" ht="15" hidden="1" customHeight="1" x14ac:dyDescent="0.2">
      <c r="A544" s="60"/>
      <c r="B544" s="46">
        <v>45406</v>
      </c>
      <c r="C544" s="55">
        <v>45505</v>
      </c>
      <c r="D544" s="45" t="s">
        <v>285</v>
      </c>
      <c r="E544" s="85" t="s">
        <v>383</v>
      </c>
      <c r="F544" s="85"/>
      <c r="G544" s="45" t="s">
        <v>287</v>
      </c>
      <c r="H544" s="97" t="s">
        <v>288</v>
      </c>
      <c r="I544" s="45" t="s">
        <v>289</v>
      </c>
      <c r="J544" s="45" t="s">
        <v>470</v>
      </c>
      <c r="K544" s="31"/>
      <c r="L544" s="45" t="s">
        <v>222</v>
      </c>
      <c r="M544" s="97">
        <v>7901</v>
      </c>
      <c r="N544" s="97">
        <v>371065</v>
      </c>
      <c r="O544" s="34"/>
      <c r="P544" s="175">
        <v>1</v>
      </c>
      <c r="Q544" s="50" t="s">
        <v>26</v>
      </c>
      <c r="R544" s="51">
        <v>30</v>
      </c>
      <c r="S544" s="64">
        <f>Table4[[#This Row],[VALUE]]*Table4[[#This Row],[QTD]]</f>
        <v>30</v>
      </c>
    </row>
    <row r="545" spans="1:19" s="41" customFormat="1" ht="15" hidden="1" customHeight="1" x14ac:dyDescent="0.2">
      <c r="A545" s="60"/>
      <c r="B545" s="46">
        <v>45406</v>
      </c>
      <c r="C545" s="55">
        <v>45505</v>
      </c>
      <c r="D545" s="45" t="s">
        <v>285</v>
      </c>
      <c r="E545" s="85" t="s">
        <v>383</v>
      </c>
      <c r="F545" s="85"/>
      <c r="G545" s="45" t="s">
        <v>287</v>
      </c>
      <c r="H545" s="97" t="s">
        <v>288</v>
      </c>
      <c r="I545" s="45" t="s">
        <v>289</v>
      </c>
      <c r="J545" s="45" t="s">
        <v>468</v>
      </c>
      <c r="K545" s="31"/>
      <c r="L545" s="45" t="s">
        <v>222</v>
      </c>
      <c r="M545" s="97">
        <v>7901</v>
      </c>
      <c r="N545" s="97">
        <v>371065</v>
      </c>
      <c r="O545" s="34"/>
      <c r="P545" s="175">
        <v>1</v>
      </c>
      <c r="Q545" s="50" t="s">
        <v>26</v>
      </c>
      <c r="R545" s="51">
        <v>3.5</v>
      </c>
      <c r="S545" s="64">
        <f>Table4[[#This Row],[VALUE]]*Table4[[#This Row],[QTD]]</f>
        <v>3.5</v>
      </c>
    </row>
    <row r="546" spans="1:19" s="41" customFormat="1" ht="15" hidden="1" customHeight="1" x14ac:dyDescent="0.2">
      <c r="A546" s="60"/>
      <c r="B546" s="46">
        <v>45406</v>
      </c>
      <c r="C546" s="55">
        <v>45505</v>
      </c>
      <c r="D546" s="45" t="s">
        <v>285</v>
      </c>
      <c r="E546" s="85" t="s">
        <v>383</v>
      </c>
      <c r="F546" s="85"/>
      <c r="G546" s="45" t="s">
        <v>287</v>
      </c>
      <c r="H546" s="97" t="s">
        <v>288</v>
      </c>
      <c r="I546" s="45" t="s">
        <v>289</v>
      </c>
      <c r="J546" s="45" t="s">
        <v>469</v>
      </c>
      <c r="K546" s="31"/>
      <c r="L546" s="45" t="s">
        <v>222</v>
      </c>
      <c r="M546" s="97">
        <v>7901</v>
      </c>
      <c r="N546" s="97">
        <v>371065</v>
      </c>
      <c r="O546" s="34"/>
      <c r="P546" s="175">
        <v>5</v>
      </c>
      <c r="Q546" s="50" t="s">
        <v>26</v>
      </c>
      <c r="R546" s="51">
        <v>12</v>
      </c>
      <c r="S546" s="64">
        <f>Table4[[#This Row],[VALUE]]*Table4[[#This Row],[QTD]]</f>
        <v>60</v>
      </c>
    </row>
    <row r="547" spans="1:19" s="41" customFormat="1" ht="15" hidden="1" customHeight="1" x14ac:dyDescent="0.2">
      <c r="A547" s="60"/>
      <c r="B547" s="46">
        <v>45406</v>
      </c>
      <c r="C547" s="55">
        <v>45505</v>
      </c>
      <c r="D547" s="45" t="s">
        <v>285</v>
      </c>
      <c r="E547" s="85" t="s">
        <v>383</v>
      </c>
      <c r="F547" s="85"/>
      <c r="G547" s="45" t="s">
        <v>287</v>
      </c>
      <c r="H547" s="97" t="s">
        <v>288</v>
      </c>
      <c r="I547" s="45" t="s">
        <v>289</v>
      </c>
      <c r="J547" s="45" t="s">
        <v>470</v>
      </c>
      <c r="K547" s="31"/>
      <c r="L547" s="45" t="s">
        <v>222</v>
      </c>
      <c r="M547" s="97">
        <v>7901</v>
      </c>
      <c r="N547" s="97">
        <v>371065</v>
      </c>
      <c r="O547" s="34"/>
      <c r="P547" s="175">
        <v>1</v>
      </c>
      <c r="Q547" s="50" t="s">
        <v>26</v>
      </c>
      <c r="R547" s="51">
        <v>30</v>
      </c>
      <c r="S547" s="64">
        <f>Table4[[#This Row],[VALUE]]*Table4[[#This Row],[QTD]]</f>
        <v>30</v>
      </c>
    </row>
    <row r="548" spans="1:19" s="41" customFormat="1" ht="15" hidden="1" customHeight="1" x14ac:dyDescent="0.2">
      <c r="A548" s="60"/>
      <c r="B548" s="46">
        <v>45406</v>
      </c>
      <c r="C548" s="55">
        <v>45505</v>
      </c>
      <c r="D548" s="45" t="s">
        <v>285</v>
      </c>
      <c r="E548" s="85" t="s">
        <v>383</v>
      </c>
      <c r="F548" s="85"/>
      <c r="G548" s="45" t="s">
        <v>287</v>
      </c>
      <c r="H548" s="97" t="s">
        <v>288</v>
      </c>
      <c r="I548" s="45" t="s">
        <v>289</v>
      </c>
      <c r="J548" s="45" t="s">
        <v>454</v>
      </c>
      <c r="K548" s="31"/>
      <c r="L548" s="45" t="s">
        <v>222</v>
      </c>
      <c r="M548" s="97">
        <v>7901</v>
      </c>
      <c r="N548" s="97">
        <v>371065</v>
      </c>
      <c r="O548" s="34"/>
      <c r="P548" s="175">
        <v>2</v>
      </c>
      <c r="Q548" s="50" t="s">
        <v>26</v>
      </c>
      <c r="R548" s="51">
        <v>7.95</v>
      </c>
      <c r="S548" s="64">
        <f>Table4[[#This Row],[VALUE]]*Table4[[#This Row],[QTD]]</f>
        <v>15.9</v>
      </c>
    </row>
    <row r="549" spans="1:19" s="41" customFormat="1" ht="15" hidden="1" customHeight="1" x14ac:dyDescent="0.2">
      <c r="A549" s="60"/>
      <c r="B549" s="46">
        <v>45406</v>
      </c>
      <c r="C549" s="55">
        <v>45505</v>
      </c>
      <c r="D549" s="45" t="s">
        <v>285</v>
      </c>
      <c r="E549" s="85" t="s">
        <v>383</v>
      </c>
      <c r="F549" s="85"/>
      <c r="G549" s="45" t="s">
        <v>287</v>
      </c>
      <c r="H549" s="97" t="s">
        <v>288</v>
      </c>
      <c r="I549" s="45" t="s">
        <v>289</v>
      </c>
      <c r="J549" s="34" t="s">
        <v>308</v>
      </c>
      <c r="K549" s="31"/>
      <c r="L549" s="45" t="s">
        <v>222</v>
      </c>
      <c r="M549" s="97">
        <v>7901</v>
      </c>
      <c r="N549" s="97">
        <v>371065</v>
      </c>
      <c r="O549" s="34"/>
      <c r="P549" s="175">
        <v>1</v>
      </c>
      <c r="Q549" s="50" t="s">
        <v>26</v>
      </c>
      <c r="R549" s="51">
        <v>520</v>
      </c>
      <c r="S549" s="64">
        <f>Table4[[#This Row],[VALUE]]*Table4[[#This Row],[QTD]]</f>
        <v>520</v>
      </c>
    </row>
    <row r="550" spans="1:19" s="41" customFormat="1" ht="15" hidden="1" customHeight="1" x14ac:dyDescent="0.2">
      <c r="A550" s="60"/>
      <c r="B550" s="46">
        <v>45406</v>
      </c>
      <c r="C550" s="55">
        <v>45505</v>
      </c>
      <c r="D550" s="45" t="s">
        <v>285</v>
      </c>
      <c r="E550" s="85" t="s">
        <v>383</v>
      </c>
      <c r="F550" s="85"/>
      <c r="G550" s="45" t="s">
        <v>287</v>
      </c>
      <c r="H550" s="97" t="s">
        <v>288</v>
      </c>
      <c r="I550" s="45" t="s">
        <v>289</v>
      </c>
      <c r="J550" s="45" t="s">
        <v>471</v>
      </c>
      <c r="K550" s="31"/>
      <c r="L550" s="45" t="s">
        <v>222</v>
      </c>
      <c r="M550" s="97">
        <v>7901</v>
      </c>
      <c r="N550" s="97">
        <v>371065</v>
      </c>
      <c r="O550" s="34"/>
      <c r="P550" s="175">
        <v>1</v>
      </c>
      <c r="Q550" s="50" t="s">
        <v>26</v>
      </c>
      <c r="R550" s="51">
        <v>127</v>
      </c>
      <c r="S550" s="64">
        <f>Table4[[#This Row],[VALUE]]*Table4[[#This Row],[QTD]]</f>
        <v>127</v>
      </c>
    </row>
    <row r="551" spans="1:19" s="41" customFormat="1" ht="15" hidden="1" customHeight="1" x14ac:dyDescent="0.2">
      <c r="A551" s="60"/>
      <c r="B551" s="46">
        <v>45406</v>
      </c>
      <c r="C551" s="55">
        <v>45505</v>
      </c>
      <c r="D551" s="45" t="s">
        <v>285</v>
      </c>
      <c r="E551" s="85" t="s">
        <v>383</v>
      </c>
      <c r="F551" s="85"/>
      <c r="G551" s="45" t="s">
        <v>287</v>
      </c>
      <c r="H551" s="97" t="s">
        <v>288</v>
      </c>
      <c r="I551" s="45" t="s">
        <v>289</v>
      </c>
      <c r="J551" s="45" t="s">
        <v>471</v>
      </c>
      <c r="K551" s="31"/>
      <c r="L551" s="45" t="s">
        <v>222</v>
      </c>
      <c r="M551" s="97">
        <v>7901</v>
      </c>
      <c r="N551" s="97">
        <v>371065</v>
      </c>
      <c r="O551" s="34"/>
      <c r="P551" s="175">
        <v>1</v>
      </c>
      <c r="Q551" s="50" t="s">
        <v>26</v>
      </c>
      <c r="R551" s="51">
        <v>127</v>
      </c>
      <c r="S551" s="64">
        <f>Table4[[#This Row],[VALUE]]*Table4[[#This Row],[QTD]]</f>
        <v>127</v>
      </c>
    </row>
    <row r="552" spans="1:19" s="41" customFormat="1" ht="15" hidden="1" customHeight="1" x14ac:dyDescent="0.2">
      <c r="A552" s="60"/>
      <c r="B552" s="46">
        <v>45406</v>
      </c>
      <c r="C552" s="55">
        <v>45505</v>
      </c>
      <c r="D552" s="45" t="s">
        <v>285</v>
      </c>
      <c r="E552" s="85" t="s">
        <v>383</v>
      </c>
      <c r="F552" s="85"/>
      <c r="G552" s="45" t="s">
        <v>287</v>
      </c>
      <c r="H552" s="97" t="s">
        <v>288</v>
      </c>
      <c r="I552" s="45" t="s">
        <v>289</v>
      </c>
      <c r="J552" s="45" t="s">
        <v>453</v>
      </c>
      <c r="K552" s="31"/>
      <c r="L552" s="45" t="s">
        <v>222</v>
      </c>
      <c r="M552" s="97">
        <v>7901</v>
      </c>
      <c r="N552" s="97">
        <v>371065</v>
      </c>
      <c r="O552" s="34"/>
      <c r="P552" s="175">
        <v>3</v>
      </c>
      <c r="Q552" s="50" t="s">
        <v>26</v>
      </c>
      <c r="R552" s="51">
        <v>278</v>
      </c>
      <c r="S552" s="64">
        <f>Table4[[#This Row],[VALUE]]*Table4[[#This Row],[QTD]]</f>
        <v>834</v>
      </c>
    </row>
    <row r="553" spans="1:19" s="41" customFormat="1" ht="15" hidden="1" customHeight="1" x14ac:dyDescent="0.2">
      <c r="A553" s="60"/>
      <c r="B553" s="46">
        <v>45406</v>
      </c>
      <c r="C553" s="55">
        <v>45505</v>
      </c>
      <c r="D553" s="45" t="s">
        <v>285</v>
      </c>
      <c r="E553" s="85" t="s">
        <v>383</v>
      </c>
      <c r="F553" s="85"/>
      <c r="G553" s="45" t="s">
        <v>287</v>
      </c>
      <c r="H553" s="97" t="s">
        <v>288</v>
      </c>
      <c r="I553" s="45" t="s">
        <v>289</v>
      </c>
      <c r="J553" s="45" t="s">
        <v>453</v>
      </c>
      <c r="K553" s="31"/>
      <c r="L553" s="45" t="s">
        <v>222</v>
      </c>
      <c r="M553" s="97">
        <v>7901</v>
      </c>
      <c r="N553" s="97">
        <v>371065</v>
      </c>
      <c r="O553" s="34"/>
      <c r="P553" s="175">
        <v>4</v>
      </c>
      <c r="Q553" s="50" t="s">
        <v>26</v>
      </c>
      <c r="R553" s="51">
        <v>278</v>
      </c>
      <c r="S553" s="64">
        <f>Table4[[#This Row],[VALUE]]*Table4[[#This Row],[QTD]]</f>
        <v>1112</v>
      </c>
    </row>
    <row r="554" spans="1:19" s="41" customFormat="1" ht="15" hidden="1" customHeight="1" x14ac:dyDescent="0.2">
      <c r="A554" s="60"/>
      <c r="B554" s="46">
        <v>45406</v>
      </c>
      <c r="C554" s="55">
        <v>45505</v>
      </c>
      <c r="D554" s="45" t="s">
        <v>285</v>
      </c>
      <c r="E554" s="85" t="s">
        <v>383</v>
      </c>
      <c r="F554" s="85"/>
      <c r="G554" s="45" t="s">
        <v>287</v>
      </c>
      <c r="H554" s="97" t="s">
        <v>288</v>
      </c>
      <c r="I554" s="45" t="s">
        <v>289</v>
      </c>
      <c r="J554" s="45" t="s">
        <v>463</v>
      </c>
      <c r="K554" s="31"/>
      <c r="L554" s="45" t="s">
        <v>222</v>
      </c>
      <c r="M554" s="97">
        <v>7901</v>
      </c>
      <c r="N554" s="97">
        <v>371065</v>
      </c>
      <c r="O554" s="34"/>
      <c r="P554" s="175">
        <v>1</v>
      </c>
      <c r="Q554" s="50" t="s">
        <v>26</v>
      </c>
      <c r="R554" s="51">
        <v>377</v>
      </c>
      <c r="S554" s="64">
        <f>Table4[[#This Row],[VALUE]]*Table4[[#This Row],[QTD]]</f>
        <v>377</v>
      </c>
    </row>
    <row r="555" spans="1:19" s="41" customFormat="1" ht="15" hidden="1" customHeight="1" x14ac:dyDescent="0.2">
      <c r="A555" s="60"/>
      <c r="B555" s="46">
        <v>45456</v>
      </c>
      <c r="C555" s="55">
        <v>45444</v>
      </c>
      <c r="D555" s="45" t="s">
        <v>285</v>
      </c>
      <c r="E555" s="85" t="s">
        <v>19</v>
      </c>
      <c r="F555" s="85"/>
      <c r="G555" s="45" t="s">
        <v>287</v>
      </c>
      <c r="H555" s="97" t="s">
        <v>288</v>
      </c>
      <c r="I555" s="45" t="s">
        <v>289</v>
      </c>
      <c r="J555" s="45" t="s">
        <v>473</v>
      </c>
      <c r="K555" s="31"/>
      <c r="L555" s="45" t="s">
        <v>222</v>
      </c>
      <c r="M555" s="97">
        <v>7901</v>
      </c>
      <c r="N555" s="97">
        <v>371075</v>
      </c>
      <c r="O555" s="34"/>
      <c r="P555" s="175">
        <v>4</v>
      </c>
      <c r="Q555" s="50" t="s">
        <v>26</v>
      </c>
      <c r="R555" s="51">
        <v>377</v>
      </c>
      <c r="S555" s="64">
        <f>Table4[[#This Row],[VALUE]]*Table4[[#This Row],[QTD]]</f>
        <v>1508</v>
      </c>
    </row>
    <row r="556" spans="1:19" s="41" customFormat="1" ht="15" hidden="1" customHeight="1" x14ac:dyDescent="0.2">
      <c r="A556" s="60"/>
      <c r="B556" s="46">
        <v>45406</v>
      </c>
      <c r="C556" s="55">
        <v>45413</v>
      </c>
      <c r="D556" s="45" t="s">
        <v>285</v>
      </c>
      <c r="E556" s="85" t="s">
        <v>464</v>
      </c>
      <c r="F556" s="85"/>
      <c r="G556" s="45" t="s">
        <v>287</v>
      </c>
      <c r="H556" s="97" t="s">
        <v>288</v>
      </c>
      <c r="I556" s="45" t="s">
        <v>289</v>
      </c>
      <c r="J556" s="45" t="s">
        <v>477</v>
      </c>
      <c r="K556" s="31"/>
      <c r="L556" s="45" t="s">
        <v>222</v>
      </c>
      <c r="M556" s="97">
        <v>7901</v>
      </c>
      <c r="N556" s="97">
        <v>375030</v>
      </c>
      <c r="O556" s="34"/>
      <c r="P556" s="175">
        <v>1</v>
      </c>
      <c r="Q556" s="50" t="s">
        <v>26</v>
      </c>
      <c r="R556" s="51">
        <v>167</v>
      </c>
      <c r="S556" s="64">
        <v>167</v>
      </c>
    </row>
    <row r="557" spans="1:19" s="41" customFormat="1" ht="15" hidden="1" customHeight="1" x14ac:dyDescent="0.2">
      <c r="A557" s="60"/>
      <c r="B557" s="46">
        <v>45453</v>
      </c>
      <c r="C557" s="55">
        <v>45444</v>
      </c>
      <c r="D557" s="45" t="s">
        <v>285</v>
      </c>
      <c r="E557" s="85" t="s">
        <v>383</v>
      </c>
      <c r="F557" s="85"/>
      <c r="G557" s="45" t="s">
        <v>287</v>
      </c>
      <c r="H557" s="97" t="s">
        <v>288</v>
      </c>
      <c r="I557" s="45" t="s">
        <v>289</v>
      </c>
      <c r="J557" s="45" t="s">
        <v>473</v>
      </c>
      <c r="K557" s="31"/>
      <c r="L557" s="45" t="s">
        <v>222</v>
      </c>
      <c r="M557" s="97">
        <v>7901</v>
      </c>
      <c r="N557" s="97">
        <v>371065</v>
      </c>
      <c r="O557" s="34"/>
      <c r="P557" s="175">
        <v>2</v>
      </c>
      <c r="Q557" s="50" t="s">
        <v>26</v>
      </c>
      <c r="R557" s="51">
        <v>377</v>
      </c>
      <c r="S557" s="64">
        <f>Table4[[#This Row],[VALUE]]*Table4[[#This Row],[QTD]]</f>
        <v>754</v>
      </c>
    </row>
    <row r="558" spans="1:19" s="41" customFormat="1" ht="15" hidden="1" customHeight="1" x14ac:dyDescent="0.2">
      <c r="A558" s="60"/>
      <c r="B558" s="46">
        <v>45485</v>
      </c>
      <c r="C558" s="55">
        <v>45474</v>
      </c>
      <c r="D558" s="45" t="s">
        <v>285</v>
      </c>
      <c r="E558" s="85" t="s">
        <v>74</v>
      </c>
      <c r="F558" s="85"/>
      <c r="G558" s="45" t="s">
        <v>287</v>
      </c>
      <c r="H558" s="97" t="s">
        <v>288</v>
      </c>
      <c r="I558" s="45" t="s">
        <v>289</v>
      </c>
      <c r="J558" s="45" t="s">
        <v>473</v>
      </c>
      <c r="K558" s="31"/>
      <c r="L558" s="45" t="s">
        <v>222</v>
      </c>
      <c r="M558" s="97">
        <v>7901</v>
      </c>
      <c r="N558" s="97">
        <v>371045</v>
      </c>
      <c r="O558" s="34"/>
      <c r="P558" s="175">
        <v>2</v>
      </c>
      <c r="Q558" s="50" t="s">
        <v>26</v>
      </c>
      <c r="R558" s="51">
        <v>377</v>
      </c>
      <c r="S558" s="64">
        <f>Table4[[#This Row],[VALUE]]*Table4[[#This Row],[QTD]]</f>
        <v>754</v>
      </c>
    </row>
    <row r="559" spans="1:19" s="41" customFormat="1" ht="15" hidden="1" customHeight="1" x14ac:dyDescent="0.2">
      <c r="A559" s="60"/>
      <c r="B559" s="46">
        <v>45455</v>
      </c>
      <c r="C559" s="55">
        <v>45444</v>
      </c>
      <c r="D559" s="45" t="s">
        <v>285</v>
      </c>
      <c r="E559" s="85" t="s">
        <v>19</v>
      </c>
      <c r="F559" s="85"/>
      <c r="G559" s="45" t="s">
        <v>287</v>
      </c>
      <c r="H559" s="97" t="s">
        <v>288</v>
      </c>
      <c r="I559" s="45" t="s">
        <v>289</v>
      </c>
      <c r="J559" s="45" t="s">
        <v>473</v>
      </c>
      <c r="K559" s="31"/>
      <c r="L559" s="45" t="s">
        <v>222</v>
      </c>
      <c r="M559" s="97">
        <v>7901</v>
      </c>
      <c r="N559" s="97">
        <v>371094</v>
      </c>
      <c r="O559" s="34"/>
      <c r="P559" s="175">
        <v>2</v>
      </c>
      <c r="Q559" s="50" t="s">
        <v>26</v>
      </c>
      <c r="R559" s="51">
        <v>377</v>
      </c>
      <c r="S559" s="64">
        <f>Table4[[#This Row],[VALUE]]*Table4[[#This Row],[QTD]]</f>
        <v>754</v>
      </c>
    </row>
    <row r="560" spans="1:19" s="41" customFormat="1" ht="15" hidden="1" customHeight="1" x14ac:dyDescent="0.2">
      <c r="A560" s="60"/>
      <c r="B560" s="46">
        <v>45455</v>
      </c>
      <c r="C560" s="55">
        <v>45444</v>
      </c>
      <c r="D560" s="45" t="s">
        <v>285</v>
      </c>
      <c r="E560" s="85" t="s">
        <v>52</v>
      </c>
      <c r="F560" s="85"/>
      <c r="G560" s="45" t="s">
        <v>287</v>
      </c>
      <c r="H560" s="97" t="s">
        <v>288</v>
      </c>
      <c r="I560" s="45" t="s">
        <v>289</v>
      </c>
      <c r="J560" s="45" t="s">
        <v>473</v>
      </c>
      <c r="K560" s="31"/>
      <c r="L560" s="45" t="s">
        <v>222</v>
      </c>
      <c r="M560" s="97">
        <v>7901</v>
      </c>
      <c r="N560" s="97">
        <v>375040</v>
      </c>
      <c r="O560" s="34"/>
      <c r="P560" s="175">
        <v>2</v>
      </c>
      <c r="Q560" s="50" t="s">
        <v>26</v>
      </c>
      <c r="R560" s="51">
        <v>377</v>
      </c>
      <c r="S560" s="64">
        <f>Table4[[#This Row],[VALUE]]*Table4[[#This Row],[QTD]]</f>
        <v>754</v>
      </c>
    </row>
    <row r="561" spans="1:19" s="41" customFormat="1" ht="15" hidden="1" customHeight="1" x14ac:dyDescent="0.2">
      <c r="A561" s="60"/>
      <c r="B561" s="46">
        <v>45455</v>
      </c>
      <c r="C561" s="55">
        <v>45444</v>
      </c>
      <c r="D561" s="45" t="s">
        <v>285</v>
      </c>
      <c r="E561" s="85" t="s">
        <v>464</v>
      </c>
      <c r="F561" s="85"/>
      <c r="G561" s="45" t="s">
        <v>287</v>
      </c>
      <c r="H561" s="97" t="s">
        <v>288</v>
      </c>
      <c r="I561" s="45" t="s">
        <v>289</v>
      </c>
      <c r="J561" s="45" t="s">
        <v>473</v>
      </c>
      <c r="K561" s="31"/>
      <c r="L561" s="45" t="s">
        <v>222</v>
      </c>
      <c r="M561" s="97">
        <v>7901</v>
      </c>
      <c r="N561" s="97">
        <v>371030</v>
      </c>
      <c r="O561" s="34"/>
      <c r="P561" s="175">
        <v>2</v>
      </c>
      <c r="Q561" s="50" t="s">
        <v>26</v>
      </c>
      <c r="R561" s="51">
        <v>377</v>
      </c>
      <c r="S561" s="64">
        <f>Table4[[#This Row],[VALUE]]*Table4[[#This Row],[QTD]]</f>
        <v>754</v>
      </c>
    </row>
    <row r="562" spans="1:19" s="41" customFormat="1" ht="15" hidden="1" customHeight="1" x14ac:dyDescent="0.2">
      <c r="A562" s="60"/>
      <c r="B562" s="46">
        <v>45455</v>
      </c>
      <c r="C562" s="55">
        <v>45444</v>
      </c>
      <c r="D562" s="45" t="s">
        <v>285</v>
      </c>
      <c r="E562" s="85" t="s">
        <v>52</v>
      </c>
      <c r="F562" s="85"/>
      <c r="G562" s="45" t="s">
        <v>287</v>
      </c>
      <c r="H562" s="97" t="s">
        <v>288</v>
      </c>
      <c r="I562" s="45" t="s">
        <v>289</v>
      </c>
      <c r="J562" s="45" t="s">
        <v>473</v>
      </c>
      <c r="K562" s="31"/>
      <c r="L562" s="45" t="s">
        <v>222</v>
      </c>
      <c r="M562" s="97">
        <v>7901</v>
      </c>
      <c r="N562" s="97">
        <v>371055</v>
      </c>
      <c r="O562" s="34"/>
      <c r="P562" s="175">
        <v>2</v>
      </c>
      <c r="Q562" s="50" t="s">
        <v>26</v>
      </c>
      <c r="R562" s="51">
        <v>377</v>
      </c>
      <c r="S562" s="64">
        <f>Table4[[#This Row],[VALUE]]*Table4[[#This Row],[QTD]]</f>
        <v>754</v>
      </c>
    </row>
    <row r="563" spans="1:19" s="41" customFormat="1" ht="15" hidden="1" customHeight="1" x14ac:dyDescent="0.2">
      <c r="A563" s="60"/>
      <c r="B563" s="46">
        <v>45455</v>
      </c>
      <c r="C563" s="55">
        <v>45444</v>
      </c>
      <c r="D563" s="45" t="s">
        <v>285</v>
      </c>
      <c r="E563" s="85" t="s">
        <v>19</v>
      </c>
      <c r="F563" s="85"/>
      <c r="G563" s="45" t="s">
        <v>287</v>
      </c>
      <c r="H563" s="97" t="s">
        <v>288</v>
      </c>
      <c r="I563" s="45" t="s">
        <v>289</v>
      </c>
      <c r="J563" s="45" t="s">
        <v>473</v>
      </c>
      <c r="K563" s="31"/>
      <c r="L563" s="45" t="s">
        <v>222</v>
      </c>
      <c r="M563" s="97">
        <v>7901</v>
      </c>
      <c r="N563" s="97">
        <v>371065</v>
      </c>
      <c r="O563" s="34"/>
      <c r="P563" s="175">
        <v>2</v>
      </c>
      <c r="Q563" s="50" t="s">
        <v>26</v>
      </c>
      <c r="R563" s="51">
        <v>377</v>
      </c>
      <c r="S563" s="64">
        <f>Table4[[#This Row],[VALUE]]*Table4[[#This Row],[QTD]]</f>
        <v>754</v>
      </c>
    </row>
    <row r="564" spans="1:19" s="41" customFormat="1" ht="15" hidden="1" customHeight="1" x14ac:dyDescent="0.2">
      <c r="A564" s="60"/>
      <c r="B564" s="46">
        <v>45455</v>
      </c>
      <c r="C564" s="55">
        <v>45444</v>
      </c>
      <c r="D564" s="45" t="s">
        <v>285</v>
      </c>
      <c r="E564" s="85" t="s">
        <v>260</v>
      </c>
      <c r="F564" s="85"/>
      <c r="G564" s="45" t="s">
        <v>287</v>
      </c>
      <c r="H564" s="97" t="s">
        <v>288</v>
      </c>
      <c r="I564" s="45" t="s">
        <v>289</v>
      </c>
      <c r="J564" s="45" t="s">
        <v>473</v>
      </c>
      <c r="K564" s="31"/>
      <c r="L564" s="45" t="s">
        <v>222</v>
      </c>
      <c r="M564" s="97">
        <v>7901</v>
      </c>
      <c r="N564" s="97">
        <v>371068</v>
      </c>
      <c r="O564" s="34"/>
      <c r="P564" s="175">
        <v>1</v>
      </c>
      <c r="Q564" s="50" t="s">
        <v>26</v>
      </c>
      <c r="R564" s="51">
        <v>377</v>
      </c>
      <c r="S564" s="64">
        <f>Table4[[#This Row],[VALUE]]*Table4[[#This Row],[QTD]]</f>
        <v>377</v>
      </c>
    </row>
    <row r="565" spans="1:19" s="32" customFormat="1" ht="15" hidden="1" customHeight="1" x14ac:dyDescent="0.2">
      <c r="A565" s="60"/>
      <c r="B565" s="44">
        <v>45506</v>
      </c>
      <c r="C565" s="55">
        <v>45505</v>
      </c>
      <c r="D565" s="45" t="s">
        <v>41</v>
      </c>
      <c r="E565" s="85" t="s">
        <v>383</v>
      </c>
      <c r="F565" s="85"/>
      <c r="G565" s="45" t="s">
        <v>75</v>
      </c>
      <c r="H565" s="31">
        <v>1000238</v>
      </c>
      <c r="I565" s="45" t="s">
        <v>42</v>
      </c>
      <c r="J565" s="45" t="s">
        <v>484</v>
      </c>
      <c r="K565" s="31"/>
      <c r="L565" s="45" t="s">
        <v>222</v>
      </c>
      <c r="M565" s="97">
        <v>7901</v>
      </c>
      <c r="N565" s="97">
        <v>371065</v>
      </c>
      <c r="O565" s="34"/>
      <c r="P565" s="175">
        <v>1</v>
      </c>
      <c r="Q565" s="50" t="s">
        <v>26</v>
      </c>
      <c r="R565" s="51">
        <v>269.42</v>
      </c>
      <c r="S565" s="64">
        <f>Table4[[#This Row],[VALUE]]*Table4[[#This Row],[QTD]]</f>
        <v>269.42</v>
      </c>
    </row>
    <row r="566" spans="1:19" s="32" customFormat="1" ht="15" hidden="1" customHeight="1" x14ac:dyDescent="0.2">
      <c r="A566" s="60"/>
      <c r="B566" s="44">
        <v>45506</v>
      </c>
      <c r="C566" s="55">
        <v>45505</v>
      </c>
      <c r="D566" s="45" t="s">
        <v>27</v>
      </c>
      <c r="E566" s="85" t="s">
        <v>383</v>
      </c>
      <c r="F566" s="85"/>
      <c r="G566" s="45" t="s">
        <v>75</v>
      </c>
      <c r="H566" s="97">
        <v>1000287</v>
      </c>
      <c r="I566" s="45" t="s">
        <v>30</v>
      </c>
      <c r="J566" s="45" t="s">
        <v>485</v>
      </c>
      <c r="K566" s="31">
        <v>7002</v>
      </c>
      <c r="L566" s="45" t="s">
        <v>164</v>
      </c>
      <c r="M566" s="48" t="s">
        <v>501</v>
      </c>
      <c r="N566" s="97">
        <v>371065</v>
      </c>
      <c r="O566" s="34"/>
      <c r="P566" s="175">
        <v>352</v>
      </c>
      <c r="Q566" s="50" t="s">
        <v>34</v>
      </c>
      <c r="R566" s="51">
        <v>12.28</v>
      </c>
      <c r="S566" s="64">
        <f>Table4[[#This Row],[VALUE]]*Table4[[#This Row],[QTD]]</f>
        <v>4322.5599999999995</v>
      </c>
    </row>
    <row r="567" spans="1:19" s="32" customFormat="1" ht="15" hidden="1" customHeight="1" x14ac:dyDescent="0.2">
      <c r="A567" s="60"/>
      <c r="B567" s="44">
        <v>45512</v>
      </c>
      <c r="C567" s="55">
        <v>45505</v>
      </c>
      <c r="D567" s="45" t="s">
        <v>41</v>
      </c>
      <c r="E567" s="85" t="s">
        <v>383</v>
      </c>
      <c r="F567" s="85"/>
      <c r="G567" s="45" t="s">
        <v>75</v>
      </c>
      <c r="H567" s="31">
        <v>1000238</v>
      </c>
      <c r="I567" s="45" t="s">
        <v>42</v>
      </c>
      <c r="J567" s="45" t="s">
        <v>486</v>
      </c>
      <c r="K567" s="31"/>
      <c r="L567" s="45" t="s">
        <v>222</v>
      </c>
      <c r="M567" s="97">
        <v>7901</v>
      </c>
      <c r="N567" s="97">
        <v>371065</v>
      </c>
      <c r="O567" s="34"/>
      <c r="P567" s="175">
        <v>1</v>
      </c>
      <c r="Q567" s="50" t="s">
        <v>26</v>
      </c>
      <c r="R567" s="51">
        <v>0</v>
      </c>
      <c r="S567" s="64">
        <f>Table4[[#This Row],[VALUE]]*Table4[[#This Row],[QTD]]</f>
        <v>0</v>
      </c>
    </row>
    <row r="568" spans="1:19" s="32" customFormat="1" ht="15" hidden="1" customHeight="1" x14ac:dyDescent="0.2">
      <c r="A568" s="60"/>
      <c r="B568" s="44">
        <v>45512</v>
      </c>
      <c r="C568" s="55">
        <v>45505</v>
      </c>
      <c r="D568" s="45" t="s">
        <v>27</v>
      </c>
      <c r="E568" s="85" t="s">
        <v>383</v>
      </c>
      <c r="F568" s="85"/>
      <c r="G568" s="45" t="s">
        <v>75</v>
      </c>
      <c r="H568" s="97">
        <v>1000287</v>
      </c>
      <c r="I568" s="45" t="s">
        <v>30</v>
      </c>
      <c r="J568" s="45" t="s">
        <v>487</v>
      </c>
      <c r="K568" s="31">
        <v>7002</v>
      </c>
      <c r="L568" s="45" t="s">
        <v>164</v>
      </c>
      <c r="M568" s="48" t="s">
        <v>259</v>
      </c>
      <c r="N568" s="97">
        <v>371065</v>
      </c>
      <c r="O568" s="34"/>
      <c r="P568" s="175">
        <v>125</v>
      </c>
      <c r="Q568" s="50" t="s">
        <v>34</v>
      </c>
      <c r="R568" s="51">
        <v>12.28</v>
      </c>
      <c r="S568" s="64">
        <f>Table4[[#This Row],[VALUE]]*Table4[[#This Row],[QTD]]</f>
        <v>1535</v>
      </c>
    </row>
    <row r="569" spans="1:19" s="32" customFormat="1" ht="15" hidden="1" customHeight="1" x14ac:dyDescent="0.2">
      <c r="A569" s="60"/>
      <c r="B569" s="44">
        <v>45503</v>
      </c>
      <c r="C569" s="55">
        <v>45505</v>
      </c>
      <c r="D569" s="45" t="s">
        <v>41</v>
      </c>
      <c r="E569" s="85" t="s">
        <v>383</v>
      </c>
      <c r="F569" s="85"/>
      <c r="G569" s="45" t="s">
        <v>75</v>
      </c>
      <c r="H569" s="31">
        <v>1000238</v>
      </c>
      <c r="I569" s="45" t="s">
        <v>42</v>
      </c>
      <c r="J569" s="45" t="s">
        <v>486</v>
      </c>
      <c r="K569" s="31"/>
      <c r="L569" s="45" t="s">
        <v>222</v>
      </c>
      <c r="M569" s="97">
        <v>7901</v>
      </c>
      <c r="N569" s="97">
        <v>371094</v>
      </c>
      <c r="O569" s="34"/>
      <c r="P569" s="175">
        <v>1</v>
      </c>
      <c r="Q569" s="50" t="s">
        <v>26</v>
      </c>
      <c r="R569" s="51">
        <v>0</v>
      </c>
      <c r="S569" s="64">
        <f>Table4[[#This Row],[VALUE]]*Table4[[#This Row],[QTD]]</f>
        <v>0</v>
      </c>
    </row>
    <row r="570" spans="1:19" s="32" customFormat="1" ht="15" hidden="1" customHeight="1" x14ac:dyDescent="0.2">
      <c r="A570" s="60"/>
      <c r="B570" s="44">
        <v>45503</v>
      </c>
      <c r="C570" s="55">
        <v>45505</v>
      </c>
      <c r="D570" s="45" t="s">
        <v>27</v>
      </c>
      <c r="E570" s="85" t="s">
        <v>383</v>
      </c>
      <c r="F570" s="85"/>
      <c r="G570" s="45" t="s">
        <v>75</v>
      </c>
      <c r="H570" s="97">
        <v>1000287</v>
      </c>
      <c r="I570" s="45" t="s">
        <v>30</v>
      </c>
      <c r="J570" s="45" t="s">
        <v>487</v>
      </c>
      <c r="K570" s="31">
        <v>7002</v>
      </c>
      <c r="L570" s="45" t="s">
        <v>164</v>
      </c>
      <c r="M570" s="48" t="s">
        <v>259</v>
      </c>
      <c r="N570" s="97">
        <v>371094</v>
      </c>
      <c r="O570" s="34"/>
      <c r="P570" s="175">
        <v>125</v>
      </c>
      <c r="Q570" s="50" t="s">
        <v>34</v>
      </c>
      <c r="R570" s="51">
        <v>12.28</v>
      </c>
      <c r="S570" s="64">
        <f>Table4[[#This Row],[VALUE]]*Table4[[#This Row],[QTD]]</f>
        <v>1535</v>
      </c>
    </row>
    <row r="571" spans="1:19" s="32" customFormat="1" ht="15" hidden="1" customHeight="1" x14ac:dyDescent="0.2">
      <c r="A571" s="60"/>
      <c r="B571" s="44">
        <v>45503</v>
      </c>
      <c r="C571" s="55">
        <v>45505</v>
      </c>
      <c r="D571" s="45" t="s">
        <v>41</v>
      </c>
      <c r="E571" s="85" t="s">
        <v>383</v>
      </c>
      <c r="F571" s="85"/>
      <c r="G571" s="45" t="s">
        <v>75</v>
      </c>
      <c r="H571" s="31">
        <v>1000238</v>
      </c>
      <c r="I571" s="45" t="s">
        <v>42</v>
      </c>
      <c r="J571" s="45" t="s">
        <v>486</v>
      </c>
      <c r="K571" s="31"/>
      <c r="L571" s="45" t="s">
        <v>222</v>
      </c>
      <c r="M571" s="97">
        <v>7901</v>
      </c>
      <c r="N571" s="97">
        <v>371094</v>
      </c>
      <c r="O571" s="34"/>
      <c r="P571" s="175">
        <v>1</v>
      </c>
      <c r="Q571" s="50" t="s">
        <v>26</v>
      </c>
      <c r="R571" s="51">
        <v>0</v>
      </c>
      <c r="S571" s="64">
        <f>Table4[[#This Row],[VALUE]]*Table4[[#This Row],[QTD]]</f>
        <v>0</v>
      </c>
    </row>
    <row r="572" spans="1:19" s="32" customFormat="1" ht="15" hidden="1" customHeight="1" x14ac:dyDescent="0.2">
      <c r="A572" s="60"/>
      <c r="B572" s="44">
        <v>45503</v>
      </c>
      <c r="C572" s="55">
        <v>45505</v>
      </c>
      <c r="D572" s="45" t="s">
        <v>27</v>
      </c>
      <c r="E572" s="85" t="s">
        <v>383</v>
      </c>
      <c r="F572" s="85"/>
      <c r="G572" s="45" t="s">
        <v>75</v>
      </c>
      <c r="H572" s="97">
        <v>1000287</v>
      </c>
      <c r="I572" s="45" t="s">
        <v>30</v>
      </c>
      <c r="J572" s="45" t="s">
        <v>487</v>
      </c>
      <c r="K572" s="31">
        <v>7002</v>
      </c>
      <c r="L572" s="45" t="s">
        <v>164</v>
      </c>
      <c r="M572" s="48" t="s">
        <v>259</v>
      </c>
      <c r="N572" s="97">
        <v>371094</v>
      </c>
      <c r="O572" s="34"/>
      <c r="P572" s="175">
        <v>125</v>
      </c>
      <c r="Q572" s="50" t="s">
        <v>34</v>
      </c>
      <c r="R572" s="51">
        <v>12.28</v>
      </c>
      <c r="S572" s="64">
        <f>Table4[[#This Row],[VALUE]]*Table4[[#This Row],[QTD]]</f>
        <v>1535</v>
      </c>
    </row>
    <row r="573" spans="1:19" s="32" customFormat="1" ht="15" hidden="1" customHeight="1" x14ac:dyDescent="0.2">
      <c r="A573" s="60"/>
      <c r="B573" s="44">
        <v>45504</v>
      </c>
      <c r="C573" s="55">
        <v>45505</v>
      </c>
      <c r="D573" s="45" t="s">
        <v>41</v>
      </c>
      <c r="E573" s="85" t="s">
        <v>383</v>
      </c>
      <c r="F573" s="85"/>
      <c r="G573" s="45" t="s">
        <v>75</v>
      </c>
      <c r="H573" s="31">
        <v>1000238</v>
      </c>
      <c r="I573" s="45" t="s">
        <v>42</v>
      </c>
      <c r="J573" s="45" t="s">
        <v>486</v>
      </c>
      <c r="K573" s="31"/>
      <c r="L573" s="45" t="s">
        <v>222</v>
      </c>
      <c r="M573" s="97">
        <v>7901</v>
      </c>
      <c r="N573" s="97">
        <v>371045</v>
      </c>
      <c r="O573" s="34"/>
      <c r="P573" s="175">
        <v>1</v>
      </c>
      <c r="Q573" s="50" t="s">
        <v>26</v>
      </c>
      <c r="R573" s="51">
        <v>0</v>
      </c>
      <c r="S573" s="64">
        <f>Table4[[#This Row],[VALUE]]*Table4[[#This Row],[QTD]]</f>
        <v>0</v>
      </c>
    </row>
    <row r="574" spans="1:19" s="32" customFormat="1" ht="15" hidden="1" customHeight="1" x14ac:dyDescent="0.2">
      <c r="A574" s="60"/>
      <c r="B574" s="44">
        <v>45504</v>
      </c>
      <c r="C574" s="55">
        <v>45505</v>
      </c>
      <c r="D574" s="45" t="s">
        <v>27</v>
      </c>
      <c r="E574" s="85" t="s">
        <v>383</v>
      </c>
      <c r="F574" s="85"/>
      <c r="G574" s="45" t="s">
        <v>75</v>
      </c>
      <c r="H574" s="97">
        <v>1000287</v>
      </c>
      <c r="I574" s="45" t="s">
        <v>30</v>
      </c>
      <c r="J574" s="45" t="s">
        <v>487</v>
      </c>
      <c r="K574" s="31">
        <v>7002</v>
      </c>
      <c r="L574" s="45" t="s">
        <v>164</v>
      </c>
      <c r="M574" s="48" t="s">
        <v>259</v>
      </c>
      <c r="N574" s="97">
        <v>371045</v>
      </c>
      <c r="O574" s="34"/>
      <c r="P574" s="175">
        <v>125</v>
      </c>
      <c r="Q574" s="50" t="s">
        <v>34</v>
      </c>
      <c r="R574" s="51">
        <v>12.28</v>
      </c>
      <c r="S574" s="64">
        <f>Table4[[#This Row],[VALUE]]*Table4[[#This Row],[QTD]]</f>
        <v>1535</v>
      </c>
    </row>
    <row r="575" spans="1:19" s="32" customFormat="1" ht="15" hidden="1" customHeight="1" x14ac:dyDescent="0.2">
      <c r="A575" s="60"/>
      <c r="B575" s="46">
        <v>45517</v>
      </c>
      <c r="C575" s="55">
        <v>45505</v>
      </c>
      <c r="D575" s="45" t="s">
        <v>41</v>
      </c>
      <c r="E575" s="85" t="s">
        <v>488</v>
      </c>
      <c r="F575" s="85"/>
      <c r="G575" s="45" t="s">
        <v>75</v>
      </c>
      <c r="H575" s="31">
        <v>1000238</v>
      </c>
      <c r="I575" s="45" t="s">
        <v>42</v>
      </c>
      <c r="J575" s="45" t="s">
        <v>491</v>
      </c>
      <c r="K575" s="31"/>
      <c r="L575" s="45" t="s">
        <v>222</v>
      </c>
      <c r="M575" s="97">
        <v>7901</v>
      </c>
      <c r="N575" s="97">
        <v>371094</v>
      </c>
      <c r="O575" s="34"/>
      <c r="P575" s="175">
        <v>1</v>
      </c>
      <c r="Q575" s="50" t="s">
        <v>26</v>
      </c>
      <c r="R575" s="51">
        <v>1305.5999999999999</v>
      </c>
      <c r="S575" s="64">
        <f>Table4[[#This Row],[VALUE]]*Table4[[#This Row],[QTD]]</f>
        <v>1305.5999999999999</v>
      </c>
    </row>
    <row r="576" spans="1:19" s="32" customFormat="1" ht="15" hidden="1" customHeight="1" x14ac:dyDescent="0.2">
      <c r="A576" s="60"/>
      <c r="B576" s="46">
        <v>45517</v>
      </c>
      <c r="C576" s="55">
        <v>45505</v>
      </c>
      <c r="D576" s="45" t="s">
        <v>27</v>
      </c>
      <c r="E576" s="85" t="s">
        <v>488</v>
      </c>
      <c r="F576" s="85"/>
      <c r="G576" s="45" t="s">
        <v>75</v>
      </c>
      <c r="H576" s="97">
        <v>1000287</v>
      </c>
      <c r="I576" s="45" t="s">
        <v>30</v>
      </c>
      <c r="J576" s="45" t="s">
        <v>492</v>
      </c>
      <c r="K576" s="31">
        <v>6007</v>
      </c>
      <c r="L576" s="45" t="s">
        <v>500</v>
      </c>
      <c r="M576" s="97">
        <v>6236</v>
      </c>
      <c r="N576" s="97">
        <v>371094</v>
      </c>
      <c r="O576" s="34"/>
      <c r="P576" s="175">
        <v>1682</v>
      </c>
      <c r="Q576" s="50" t="s">
        <v>34</v>
      </c>
      <c r="R576" s="51">
        <v>12.28</v>
      </c>
      <c r="S576" s="64">
        <f>Table4[[#This Row],[VALUE]]*Table4[[#This Row],[QTD]]</f>
        <v>20654.96</v>
      </c>
    </row>
    <row r="577" spans="1:19" s="32" customFormat="1" ht="15" hidden="1" customHeight="1" x14ac:dyDescent="0.2">
      <c r="A577" s="60"/>
      <c r="B577" s="46">
        <v>45517</v>
      </c>
      <c r="C577" s="55">
        <v>45505</v>
      </c>
      <c r="D577" s="45" t="s">
        <v>147</v>
      </c>
      <c r="E577" s="85" t="s">
        <v>488</v>
      </c>
      <c r="F577" s="85"/>
      <c r="G577" s="45" t="s">
        <v>75</v>
      </c>
      <c r="H577" s="97" t="s">
        <v>21</v>
      </c>
      <c r="I577" s="39" t="s">
        <v>361</v>
      </c>
      <c r="J577" s="45" t="s">
        <v>147</v>
      </c>
      <c r="K577" s="31"/>
      <c r="L577" s="45" t="s">
        <v>222</v>
      </c>
      <c r="M577" s="97">
        <v>7901</v>
      </c>
      <c r="N577" s="97">
        <v>371094</v>
      </c>
      <c r="O577" s="34"/>
      <c r="P577" s="175">
        <v>1</v>
      </c>
      <c r="Q577" s="50" t="s">
        <v>26</v>
      </c>
      <c r="R577" s="51">
        <v>455</v>
      </c>
      <c r="S577" s="64">
        <f>Table4[[#This Row],[VALUE]]*Table4[[#This Row],[QTD]]</f>
        <v>455</v>
      </c>
    </row>
    <row r="578" spans="1:19" s="32" customFormat="1" ht="15" hidden="1" customHeight="1" x14ac:dyDescent="0.2">
      <c r="A578" s="60"/>
      <c r="B578" s="46">
        <v>45517</v>
      </c>
      <c r="C578" s="55">
        <v>45505</v>
      </c>
      <c r="D578" s="45" t="s">
        <v>41</v>
      </c>
      <c r="E578" s="85" t="s">
        <v>488</v>
      </c>
      <c r="F578" s="85"/>
      <c r="G578" s="45" t="s">
        <v>75</v>
      </c>
      <c r="H578" s="31">
        <v>1000238</v>
      </c>
      <c r="I578" s="45" t="s">
        <v>42</v>
      </c>
      <c r="J578" s="45" t="s">
        <v>491</v>
      </c>
      <c r="K578" s="31"/>
      <c r="L578" s="45" t="s">
        <v>222</v>
      </c>
      <c r="M578" s="97">
        <v>7901</v>
      </c>
      <c r="N578" s="97">
        <v>371094</v>
      </c>
      <c r="O578" s="34"/>
      <c r="P578" s="175">
        <v>1</v>
      </c>
      <c r="Q578" s="50" t="s">
        <v>26</v>
      </c>
      <c r="R578" s="51">
        <v>1313.1</v>
      </c>
      <c r="S578" s="64">
        <f>Table4[[#This Row],[VALUE]]*Table4[[#This Row],[QTD]]</f>
        <v>1313.1</v>
      </c>
    </row>
    <row r="579" spans="1:19" s="32" customFormat="1" ht="15" hidden="1" customHeight="1" x14ac:dyDescent="0.2">
      <c r="A579" s="60"/>
      <c r="B579" s="46">
        <v>45517</v>
      </c>
      <c r="C579" s="55">
        <v>45505</v>
      </c>
      <c r="D579" s="45" t="s">
        <v>27</v>
      </c>
      <c r="E579" s="85" t="s">
        <v>488</v>
      </c>
      <c r="F579" s="85"/>
      <c r="G579" s="45" t="s">
        <v>75</v>
      </c>
      <c r="H579" s="97">
        <v>1000287</v>
      </c>
      <c r="I579" s="45" t="s">
        <v>30</v>
      </c>
      <c r="J579" s="45" t="s">
        <v>492</v>
      </c>
      <c r="K579" s="31">
        <v>6007</v>
      </c>
      <c r="L579" s="45" t="s">
        <v>500</v>
      </c>
      <c r="M579" s="97">
        <v>6236</v>
      </c>
      <c r="N579" s="97">
        <v>371094</v>
      </c>
      <c r="O579" s="34"/>
      <c r="P579" s="175">
        <v>1683</v>
      </c>
      <c r="Q579" s="50" t="s">
        <v>34</v>
      </c>
      <c r="R579" s="51">
        <v>12.28</v>
      </c>
      <c r="S579" s="64">
        <f>Table4[[#This Row],[VALUE]]*Table4[[#This Row],[QTD]]</f>
        <v>20667.239999999998</v>
      </c>
    </row>
    <row r="580" spans="1:19" s="32" customFormat="1" ht="15" hidden="1" customHeight="1" x14ac:dyDescent="0.2">
      <c r="A580" s="60"/>
      <c r="B580" s="46">
        <v>45517</v>
      </c>
      <c r="C580" s="55">
        <v>45505</v>
      </c>
      <c r="D580" s="45" t="s">
        <v>147</v>
      </c>
      <c r="E580" s="85" t="s">
        <v>488</v>
      </c>
      <c r="F580" s="85"/>
      <c r="G580" s="45" t="s">
        <v>75</v>
      </c>
      <c r="H580" s="97" t="s">
        <v>21</v>
      </c>
      <c r="I580" s="39" t="s">
        <v>361</v>
      </c>
      <c r="J580" s="45" t="s">
        <v>147</v>
      </c>
      <c r="K580" s="31"/>
      <c r="L580" s="45" t="s">
        <v>222</v>
      </c>
      <c r="M580" s="97">
        <v>7901</v>
      </c>
      <c r="N580" s="97">
        <v>371094</v>
      </c>
      <c r="O580" s="34"/>
      <c r="P580" s="175">
        <v>1</v>
      </c>
      <c r="Q580" s="50" t="s">
        <v>26</v>
      </c>
      <c r="R580" s="51">
        <v>630</v>
      </c>
      <c r="S580" s="64">
        <f>Table4[[#This Row],[VALUE]]*Table4[[#This Row],[QTD]]</f>
        <v>630</v>
      </c>
    </row>
    <row r="581" spans="1:19" s="32" customFormat="1" ht="15" hidden="1" customHeight="1" x14ac:dyDescent="0.2">
      <c r="A581" s="60"/>
      <c r="B581" s="46">
        <v>45517</v>
      </c>
      <c r="C581" s="55">
        <v>45505</v>
      </c>
      <c r="D581" s="45" t="s">
        <v>41</v>
      </c>
      <c r="E581" s="85" t="s">
        <v>488</v>
      </c>
      <c r="F581" s="85"/>
      <c r="G581" s="45" t="s">
        <v>75</v>
      </c>
      <c r="H581" s="31">
        <v>1000238</v>
      </c>
      <c r="I581" s="45" t="s">
        <v>42</v>
      </c>
      <c r="J581" s="45" t="s">
        <v>491</v>
      </c>
      <c r="K581" s="31"/>
      <c r="L581" s="45" t="s">
        <v>222</v>
      </c>
      <c r="M581" s="97">
        <v>7901</v>
      </c>
      <c r="N581" s="97">
        <v>371094</v>
      </c>
      <c r="O581" s="34"/>
      <c r="P581" s="175">
        <v>1</v>
      </c>
      <c r="Q581" s="50" t="s">
        <v>26</v>
      </c>
      <c r="R581" s="51">
        <v>1232.0999999999999</v>
      </c>
      <c r="S581" s="64">
        <f>Table4[[#This Row],[VALUE]]*Table4[[#This Row],[QTD]]</f>
        <v>1232.0999999999999</v>
      </c>
    </row>
    <row r="582" spans="1:19" s="32" customFormat="1" ht="15" hidden="1" customHeight="1" x14ac:dyDescent="0.2">
      <c r="A582" s="60"/>
      <c r="B582" s="46">
        <v>45517</v>
      </c>
      <c r="C582" s="55">
        <v>45505</v>
      </c>
      <c r="D582" s="45" t="s">
        <v>27</v>
      </c>
      <c r="E582" s="85" t="s">
        <v>488</v>
      </c>
      <c r="F582" s="85"/>
      <c r="G582" s="45" t="s">
        <v>75</v>
      </c>
      <c r="H582" s="97">
        <v>1000287</v>
      </c>
      <c r="I582" s="45" t="s">
        <v>30</v>
      </c>
      <c r="J582" s="45" t="s">
        <v>492</v>
      </c>
      <c r="K582" s="31">
        <v>6007</v>
      </c>
      <c r="L582" s="45" t="s">
        <v>500</v>
      </c>
      <c r="M582" s="97">
        <v>6236</v>
      </c>
      <c r="N582" s="97">
        <v>371094</v>
      </c>
      <c r="O582" s="34"/>
      <c r="P582" s="175">
        <v>1683</v>
      </c>
      <c r="Q582" s="50" t="s">
        <v>34</v>
      </c>
      <c r="R582" s="51">
        <v>12.28</v>
      </c>
      <c r="S582" s="64">
        <f>Table4[[#This Row],[VALUE]]*Table4[[#This Row],[QTD]]</f>
        <v>20667.239999999998</v>
      </c>
    </row>
    <row r="583" spans="1:19" s="32" customFormat="1" ht="15" hidden="1" customHeight="1" x14ac:dyDescent="0.2">
      <c r="A583" s="60"/>
      <c r="B583" s="46">
        <v>45517</v>
      </c>
      <c r="C583" s="55">
        <v>45505</v>
      </c>
      <c r="D583" s="45" t="s">
        <v>147</v>
      </c>
      <c r="E583" s="85" t="s">
        <v>488</v>
      </c>
      <c r="F583" s="85"/>
      <c r="G583" s="45" t="s">
        <v>75</v>
      </c>
      <c r="H583" s="97" t="s">
        <v>21</v>
      </c>
      <c r="I583" s="39" t="s">
        <v>361</v>
      </c>
      <c r="J583" s="45" t="s">
        <v>147</v>
      </c>
      <c r="K583" s="31"/>
      <c r="L583" s="45" t="s">
        <v>222</v>
      </c>
      <c r="M583" s="97">
        <v>7901</v>
      </c>
      <c r="N583" s="97">
        <v>371094</v>
      </c>
      <c r="O583" s="34"/>
      <c r="P583" s="175">
        <v>1</v>
      </c>
      <c r="Q583" s="50" t="s">
        <v>26</v>
      </c>
      <c r="R583" s="51">
        <v>455</v>
      </c>
      <c r="S583" s="64">
        <f>Table4[[#This Row],[VALUE]]*Table4[[#This Row],[QTD]]</f>
        <v>455</v>
      </c>
    </row>
    <row r="584" spans="1:19" s="32" customFormat="1" ht="15" hidden="1" customHeight="1" x14ac:dyDescent="0.2">
      <c r="A584" s="60"/>
      <c r="B584" s="46">
        <v>45517</v>
      </c>
      <c r="C584" s="55">
        <v>45505</v>
      </c>
      <c r="D584" s="45" t="s">
        <v>41</v>
      </c>
      <c r="E584" s="85" t="s">
        <v>488</v>
      </c>
      <c r="F584" s="85"/>
      <c r="G584" s="45" t="s">
        <v>75</v>
      </c>
      <c r="H584" s="31">
        <v>1000238</v>
      </c>
      <c r="I584" s="45" t="s">
        <v>42</v>
      </c>
      <c r="J584" s="45" t="s">
        <v>491</v>
      </c>
      <c r="K584" s="31"/>
      <c r="L584" s="45" t="s">
        <v>222</v>
      </c>
      <c r="M584" s="97">
        <v>7901</v>
      </c>
      <c r="N584" s="97">
        <v>371094</v>
      </c>
      <c r="O584" s="34"/>
      <c r="P584" s="175">
        <v>1</v>
      </c>
      <c r="Q584" s="50" t="s">
        <v>26</v>
      </c>
      <c r="R584" s="51">
        <v>1706.2</v>
      </c>
      <c r="S584" s="64">
        <f>Table4[[#This Row],[VALUE]]*Table4[[#This Row],[QTD]]</f>
        <v>1706.2</v>
      </c>
    </row>
    <row r="585" spans="1:19" s="32" customFormat="1" ht="15" hidden="1" customHeight="1" x14ac:dyDescent="0.2">
      <c r="A585" s="60"/>
      <c r="B585" s="46">
        <v>45517</v>
      </c>
      <c r="C585" s="55">
        <v>45505</v>
      </c>
      <c r="D585" s="45" t="s">
        <v>27</v>
      </c>
      <c r="E585" s="85" t="s">
        <v>488</v>
      </c>
      <c r="F585" s="85"/>
      <c r="G585" s="45" t="s">
        <v>75</v>
      </c>
      <c r="H585" s="97">
        <v>1000287</v>
      </c>
      <c r="I585" s="45" t="s">
        <v>30</v>
      </c>
      <c r="J585" s="45" t="s">
        <v>492</v>
      </c>
      <c r="K585" s="31">
        <v>6007</v>
      </c>
      <c r="L585" s="45" t="s">
        <v>500</v>
      </c>
      <c r="M585" s="97">
        <v>6236</v>
      </c>
      <c r="N585" s="97">
        <v>371094</v>
      </c>
      <c r="O585" s="34"/>
      <c r="P585" s="175">
        <v>1693</v>
      </c>
      <c r="Q585" s="50" t="s">
        <v>34</v>
      </c>
      <c r="R585" s="51">
        <v>12.28</v>
      </c>
      <c r="S585" s="64">
        <f>Table4[[#This Row],[VALUE]]*Table4[[#This Row],[QTD]]</f>
        <v>20790.039999999997</v>
      </c>
    </row>
    <row r="586" spans="1:19" s="32" customFormat="1" ht="15" hidden="1" customHeight="1" x14ac:dyDescent="0.2">
      <c r="A586" s="60"/>
      <c r="B586" s="46">
        <v>45517</v>
      </c>
      <c r="C586" s="55">
        <v>45505</v>
      </c>
      <c r="D586" s="45" t="s">
        <v>147</v>
      </c>
      <c r="E586" s="85" t="s">
        <v>488</v>
      </c>
      <c r="F586" s="85"/>
      <c r="G586" s="45" t="s">
        <v>75</v>
      </c>
      <c r="H586" s="97" t="s">
        <v>21</v>
      </c>
      <c r="I586" s="39" t="s">
        <v>361</v>
      </c>
      <c r="J586" s="45" t="s">
        <v>147</v>
      </c>
      <c r="K586" s="31"/>
      <c r="L586" s="45" t="s">
        <v>222</v>
      </c>
      <c r="M586" s="97">
        <v>7901</v>
      </c>
      <c r="N586" s="97">
        <v>371094</v>
      </c>
      <c r="O586" s="53">
        <v>1</v>
      </c>
      <c r="P586" s="175">
        <v>1</v>
      </c>
      <c r="Q586" s="50" t="s">
        <v>26</v>
      </c>
      <c r="R586" s="64">
        <v>490</v>
      </c>
      <c r="S586" s="64">
        <f>Table4[[#This Row],[VALUE]]*Table4[[#This Row],[QTD]]</f>
        <v>490</v>
      </c>
    </row>
    <row r="587" spans="1:19" s="32" customFormat="1" ht="15" hidden="1" customHeight="1" x14ac:dyDescent="0.2">
      <c r="A587" s="60"/>
      <c r="B587" s="46">
        <v>45517</v>
      </c>
      <c r="C587" s="55">
        <v>45505</v>
      </c>
      <c r="D587" s="45" t="s">
        <v>41</v>
      </c>
      <c r="E587" s="85" t="s">
        <v>488</v>
      </c>
      <c r="F587" s="85"/>
      <c r="G587" s="45" t="s">
        <v>75</v>
      </c>
      <c r="H587" s="31">
        <v>1000238</v>
      </c>
      <c r="I587" s="45" t="s">
        <v>42</v>
      </c>
      <c r="J587" s="45" t="s">
        <v>498</v>
      </c>
      <c r="K587" s="31"/>
      <c r="L587" s="45" t="s">
        <v>222</v>
      </c>
      <c r="M587" s="97">
        <v>7901</v>
      </c>
      <c r="N587" s="97">
        <v>371094</v>
      </c>
      <c r="O587" s="34"/>
      <c r="P587" s="175">
        <v>1</v>
      </c>
      <c r="Q587" s="50" t="s">
        <v>26</v>
      </c>
      <c r="R587" s="51">
        <v>1758.3</v>
      </c>
      <c r="S587" s="64">
        <f>Table4[[#This Row],[VALUE]]*Table4[[#This Row],[QTD]]</f>
        <v>1758.3</v>
      </c>
    </row>
    <row r="588" spans="1:19" s="32" customFormat="1" ht="15" hidden="1" customHeight="1" x14ac:dyDescent="0.2">
      <c r="A588" s="60"/>
      <c r="B588" s="46">
        <v>45517</v>
      </c>
      <c r="C588" s="55">
        <v>45505</v>
      </c>
      <c r="D588" s="45" t="s">
        <v>27</v>
      </c>
      <c r="E588" s="85" t="s">
        <v>488</v>
      </c>
      <c r="F588" s="85"/>
      <c r="G588" s="45" t="s">
        <v>75</v>
      </c>
      <c r="H588" s="97">
        <v>1000287</v>
      </c>
      <c r="I588" s="45" t="s">
        <v>30</v>
      </c>
      <c r="J588" s="45" t="s">
        <v>497</v>
      </c>
      <c r="K588" s="31">
        <v>6007</v>
      </c>
      <c r="L588" s="45" t="s">
        <v>500</v>
      </c>
      <c r="M588" s="97">
        <v>6234</v>
      </c>
      <c r="N588" s="97">
        <v>371094</v>
      </c>
      <c r="O588" s="34"/>
      <c r="P588" s="175">
        <v>816.5</v>
      </c>
      <c r="Q588" s="50" t="s">
        <v>34</v>
      </c>
      <c r="R588" s="51">
        <v>12.28</v>
      </c>
      <c r="S588" s="64">
        <f>Table4[[#This Row],[VALUE]]*Table4[[#This Row],[QTD]]</f>
        <v>10026.619999999999</v>
      </c>
    </row>
    <row r="589" spans="1:19" s="32" customFormat="1" ht="15" hidden="1" customHeight="1" x14ac:dyDescent="0.2">
      <c r="A589" s="60"/>
      <c r="B589" s="46">
        <v>45517</v>
      </c>
      <c r="C589" s="55">
        <v>45505</v>
      </c>
      <c r="D589" s="45" t="s">
        <v>147</v>
      </c>
      <c r="E589" s="85" t="s">
        <v>488</v>
      </c>
      <c r="F589" s="85"/>
      <c r="G589" s="45" t="s">
        <v>75</v>
      </c>
      <c r="H589" s="97" t="s">
        <v>21</v>
      </c>
      <c r="I589" s="39" t="s">
        <v>361</v>
      </c>
      <c r="J589" s="45" t="s">
        <v>147</v>
      </c>
      <c r="K589" s="31"/>
      <c r="L589" s="45" t="s">
        <v>222</v>
      </c>
      <c r="M589" s="97">
        <v>7901</v>
      </c>
      <c r="N589" s="97">
        <v>371094</v>
      </c>
      <c r="O589" s="53">
        <v>1</v>
      </c>
      <c r="P589" s="50">
        <v>1</v>
      </c>
      <c r="Q589" s="50" t="s">
        <v>26</v>
      </c>
      <c r="R589" s="64">
        <v>630</v>
      </c>
      <c r="S589" s="64">
        <f>Table4[[#This Row],[VALUE]]*Table4[[#This Row],[QTD]]</f>
        <v>630</v>
      </c>
    </row>
    <row r="590" spans="1:19" s="32" customFormat="1" ht="15" hidden="1" customHeight="1" x14ac:dyDescent="0.2">
      <c r="A590" s="60"/>
      <c r="B590" s="46">
        <v>45517</v>
      </c>
      <c r="C590" s="55">
        <v>45505</v>
      </c>
      <c r="D590" s="45" t="s">
        <v>41</v>
      </c>
      <c r="E590" s="85" t="s">
        <v>488</v>
      </c>
      <c r="F590" s="85"/>
      <c r="G590" s="45" t="s">
        <v>75</v>
      </c>
      <c r="H590" s="31">
        <v>1000238</v>
      </c>
      <c r="I590" s="45" t="s">
        <v>42</v>
      </c>
      <c r="J590" s="45" t="s">
        <v>498</v>
      </c>
      <c r="K590" s="31"/>
      <c r="L590" s="45" t="s">
        <v>222</v>
      </c>
      <c r="M590" s="97">
        <v>7901</v>
      </c>
      <c r="N590" s="97">
        <v>371094</v>
      </c>
      <c r="O590" s="34"/>
      <c r="P590" s="175">
        <v>1</v>
      </c>
      <c r="Q590" s="50" t="s">
        <v>26</v>
      </c>
      <c r="R590" s="51">
        <v>0</v>
      </c>
      <c r="S590" s="64">
        <f>Table4[[#This Row],[VALUE]]*Table4[[#This Row],[QTD]]</f>
        <v>0</v>
      </c>
    </row>
    <row r="591" spans="1:19" s="32" customFormat="1" ht="15" hidden="1" customHeight="1" x14ac:dyDescent="0.2">
      <c r="A591" s="60"/>
      <c r="B591" s="46">
        <v>45517</v>
      </c>
      <c r="C591" s="55">
        <v>45505</v>
      </c>
      <c r="D591" s="45" t="s">
        <v>27</v>
      </c>
      <c r="E591" s="85" t="s">
        <v>488</v>
      </c>
      <c r="F591" s="85"/>
      <c r="G591" s="45" t="s">
        <v>75</v>
      </c>
      <c r="H591" s="97">
        <v>1000287</v>
      </c>
      <c r="I591" s="45" t="s">
        <v>30</v>
      </c>
      <c r="J591" s="45" t="s">
        <v>497</v>
      </c>
      <c r="K591" s="31">
        <v>6007</v>
      </c>
      <c r="L591" s="45" t="s">
        <v>500</v>
      </c>
      <c r="M591" s="97">
        <v>6234</v>
      </c>
      <c r="N591" s="97">
        <v>371094</v>
      </c>
      <c r="O591" s="34"/>
      <c r="P591" s="175">
        <v>816.5</v>
      </c>
      <c r="Q591" s="50" t="s">
        <v>34</v>
      </c>
      <c r="R591" s="51">
        <v>12.28</v>
      </c>
      <c r="S591" s="64">
        <f>Table4[[#This Row],[VALUE]]*Table4[[#This Row],[QTD]]</f>
        <v>10026.619999999999</v>
      </c>
    </row>
    <row r="592" spans="1:19" s="32" customFormat="1" ht="15" hidden="1" customHeight="1" x14ac:dyDescent="0.2">
      <c r="A592" s="60"/>
      <c r="B592" s="46">
        <v>45517</v>
      </c>
      <c r="C592" s="55">
        <v>45505</v>
      </c>
      <c r="D592" s="45" t="s">
        <v>502</v>
      </c>
      <c r="E592" s="85" t="s">
        <v>488</v>
      </c>
      <c r="F592" s="85"/>
      <c r="G592" s="45" t="s">
        <v>75</v>
      </c>
      <c r="H592" s="97" t="s">
        <v>21</v>
      </c>
      <c r="I592" s="39" t="s">
        <v>361</v>
      </c>
      <c r="J592" s="45" t="s">
        <v>147</v>
      </c>
      <c r="K592" s="31"/>
      <c r="L592" s="45" t="s">
        <v>222</v>
      </c>
      <c r="M592" s="97">
        <v>7901</v>
      </c>
      <c r="N592" s="97">
        <v>371094</v>
      </c>
      <c r="O592" s="34"/>
      <c r="P592" s="175">
        <v>1</v>
      </c>
      <c r="Q592" s="50" t="s">
        <v>26</v>
      </c>
      <c r="R592" s="51">
        <v>630</v>
      </c>
      <c r="S592" s="64">
        <f>Table4[[#This Row],[VALUE]]*Table4[[#This Row],[QTD]]</f>
        <v>630</v>
      </c>
    </row>
    <row r="593" spans="1:19" s="32" customFormat="1" ht="15" hidden="1" customHeight="1" x14ac:dyDescent="0.2">
      <c r="A593" s="60"/>
      <c r="B593" s="46">
        <v>45521</v>
      </c>
      <c r="C593" s="55">
        <v>45505</v>
      </c>
      <c r="D593" s="45" t="s">
        <v>41</v>
      </c>
      <c r="E593" s="85" t="s">
        <v>383</v>
      </c>
      <c r="F593" s="85"/>
      <c r="G593" s="45" t="s">
        <v>75</v>
      </c>
      <c r="H593" s="31">
        <v>1000238</v>
      </c>
      <c r="I593" s="45" t="s">
        <v>42</v>
      </c>
      <c r="J593" s="45" t="s">
        <v>496</v>
      </c>
      <c r="K593" s="31"/>
      <c r="L593" s="45" t="s">
        <v>222</v>
      </c>
      <c r="M593" s="97">
        <v>7901</v>
      </c>
      <c r="N593" s="97">
        <v>371094</v>
      </c>
      <c r="O593" s="34"/>
      <c r="P593" s="175">
        <v>1</v>
      </c>
      <c r="Q593" s="50" t="s">
        <v>26</v>
      </c>
      <c r="R593" s="51">
        <v>71.099999999999994</v>
      </c>
      <c r="S593" s="64">
        <f>Table4[[#This Row],[VALUE]]*Table4[[#This Row],[QTD]]</f>
        <v>71.099999999999994</v>
      </c>
    </row>
    <row r="594" spans="1:19" s="32" customFormat="1" ht="15" hidden="1" customHeight="1" x14ac:dyDescent="0.2">
      <c r="A594" s="60"/>
      <c r="B594" s="46">
        <v>45521</v>
      </c>
      <c r="C594" s="55">
        <v>45505</v>
      </c>
      <c r="D594" s="45" t="s">
        <v>27</v>
      </c>
      <c r="E594" s="85" t="s">
        <v>383</v>
      </c>
      <c r="F594" s="85"/>
      <c r="G594" s="45" t="s">
        <v>75</v>
      </c>
      <c r="H594" s="97">
        <v>1000287</v>
      </c>
      <c r="I594" s="45" t="s">
        <v>30</v>
      </c>
      <c r="J594" s="45" t="s">
        <v>495</v>
      </c>
      <c r="K594" s="31">
        <v>7002</v>
      </c>
      <c r="L594" s="45" t="s">
        <v>164</v>
      </c>
      <c r="M594" s="48" t="s">
        <v>499</v>
      </c>
      <c r="N594" s="97">
        <v>371094</v>
      </c>
      <c r="O594" s="34"/>
      <c r="P594" s="175">
        <v>250</v>
      </c>
      <c r="Q594" s="50" t="s">
        <v>34</v>
      </c>
      <c r="R594" s="51">
        <v>12.28</v>
      </c>
      <c r="S594" s="64">
        <f>Table4[[#This Row],[VALUE]]*Table4[[#This Row],[QTD]]</f>
        <v>3070</v>
      </c>
    </row>
    <row r="595" spans="1:19" s="32" customFormat="1" ht="15" hidden="1" customHeight="1" x14ac:dyDescent="0.2">
      <c r="A595" s="60"/>
      <c r="B595" s="46">
        <v>45521</v>
      </c>
      <c r="C595" s="55">
        <v>45505</v>
      </c>
      <c r="D595" s="45" t="s">
        <v>41</v>
      </c>
      <c r="E595" s="85" t="s">
        <v>383</v>
      </c>
      <c r="F595" s="85"/>
      <c r="G595" s="45" t="s">
        <v>75</v>
      </c>
      <c r="H595" s="31">
        <v>1000238</v>
      </c>
      <c r="I595" s="45" t="s">
        <v>42</v>
      </c>
      <c r="J595" s="45" t="s">
        <v>493</v>
      </c>
      <c r="K595" s="31"/>
      <c r="L595" s="45" t="s">
        <v>222</v>
      </c>
      <c r="M595" s="97">
        <v>7901</v>
      </c>
      <c r="N595" s="97">
        <v>371065</v>
      </c>
      <c r="O595" s="34"/>
      <c r="P595" s="175">
        <v>1</v>
      </c>
      <c r="Q595" s="50" t="s">
        <v>26</v>
      </c>
      <c r="R595" s="51">
        <v>323.2</v>
      </c>
      <c r="S595" s="64">
        <f>Table4[[#This Row],[VALUE]]*Table4[[#This Row],[QTD]]</f>
        <v>323.2</v>
      </c>
    </row>
    <row r="596" spans="1:19" s="32" customFormat="1" ht="15" hidden="1" customHeight="1" x14ac:dyDescent="0.2">
      <c r="A596" s="60"/>
      <c r="B596" s="46">
        <v>45521</v>
      </c>
      <c r="C596" s="55">
        <v>45505</v>
      </c>
      <c r="D596" s="45" t="s">
        <v>27</v>
      </c>
      <c r="E596" s="85" t="s">
        <v>383</v>
      </c>
      <c r="F596" s="85"/>
      <c r="G596" s="45" t="s">
        <v>75</v>
      </c>
      <c r="H596" s="97">
        <v>1000287</v>
      </c>
      <c r="I596" s="45" t="s">
        <v>30</v>
      </c>
      <c r="J596" s="45" t="s">
        <v>494</v>
      </c>
      <c r="K596" s="31">
        <v>7007</v>
      </c>
      <c r="L596" s="45" t="s">
        <v>39</v>
      </c>
      <c r="M596" s="97" t="s">
        <v>40</v>
      </c>
      <c r="N596" s="97">
        <v>371065</v>
      </c>
      <c r="O596" s="34"/>
      <c r="P596" s="175">
        <v>284</v>
      </c>
      <c r="Q596" s="50" t="s">
        <v>34</v>
      </c>
      <c r="R596" s="51">
        <v>12.28</v>
      </c>
      <c r="S596" s="64">
        <f>Table4[[#This Row],[VALUE]]*Table4[[#This Row],[QTD]]</f>
        <v>3487.52</v>
      </c>
    </row>
    <row r="597" spans="1:19" s="32" customFormat="1" ht="15" hidden="1" customHeight="1" x14ac:dyDescent="0.2">
      <c r="A597" s="60"/>
      <c r="B597" s="46">
        <v>45521</v>
      </c>
      <c r="C597" s="55">
        <v>45505</v>
      </c>
      <c r="D597" s="45" t="s">
        <v>41</v>
      </c>
      <c r="E597" s="85" t="s">
        <v>383</v>
      </c>
      <c r="F597" s="85"/>
      <c r="G597" s="45" t="s">
        <v>75</v>
      </c>
      <c r="H597" s="31">
        <v>1000238</v>
      </c>
      <c r="I597" s="45" t="s">
        <v>42</v>
      </c>
      <c r="J597" s="45" t="s">
        <v>493</v>
      </c>
      <c r="K597" s="31"/>
      <c r="L597" s="45" t="s">
        <v>222</v>
      </c>
      <c r="M597" s="97">
        <v>7901</v>
      </c>
      <c r="N597" s="97">
        <v>371065</v>
      </c>
      <c r="O597" s="34"/>
      <c r="P597" s="175">
        <v>1</v>
      </c>
      <c r="Q597" s="50" t="s">
        <v>26</v>
      </c>
      <c r="R597" s="51">
        <v>302.60000000000002</v>
      </c>
      <c r="S597" s="64">
        <f>Table4[[#This Row],[VALUE]]*Table4[[#This Row],[QTD]]</f>
        <v>302.60000000000002</v>
      </c>
    </row>
    <row r="598" spans="1:19" s="32" customFormat="1" ht="15" hidden="1" customHeight="1" x14ac:dyDescent="0.2">
      <c r="A598" s="60"/>
      <c r="B598" s="46">
        <v>45521</v>
      </c>
      <c r="C598" s="55">
        <v>45505</v>
      </c>
      <c r="D598" s="45" t="s">
        <v>27</v>
      </c>
      <c r="E598" s="85" t="s">
        <v>383</v>
      </c>
      <c r="F598" s="85"/>
      <c r="G598" s="45" t="s">
        <v>75</v>
      </c>
      <c r="H598" s="97">
        <v>1000287</v>
      </c>
      <c r="I598" s="45" t="s">
        <v>30</v>
      </c>
      <c r="J598" s="45" t="s">
        <v>494</v>
      </c>
      <c r="K598" s="31">
        <v>7007</v>
      </c>
      <c r="L598" s="45" t="s">
        <v>39</v>
      </c>
      <c r="M598" s="97" t="s">
        <v>40</v>
      </c>
      <c r="N598" s="97">
        <v>371065</v>
      </c>
      <c r="O598" s="34"/>
      <c r="P598" s="175">
        <v>292</v>
      </c>
      <c r="Q598" s="50" t="s">
        <v>34</v>
      </c>
      <c r="R598" s="51">
        <v>12.28</v>
      </c>
      <c r="S598" s="64">
        <f>Table4[[#This Row],[VALUE]]*Table4[[#This Row],[QTD]]</f>
        <v>3585.7599999999998</v>
      </c>
    </row>
    <row r="599" spans="1:19" s="32" customFormat="1" ht="15" hidden="1" customHeight="1" x14ac:dyDescent="0.2">
      <c r="A599" s="60"/>
      <c r="B599" s="46">
        <v>45521</v>
      </c>
      <c r="C599" s="55">
        <v>45505</v>
      </c>
      <c r="D599" s="45" t="s">
        <v>41</v>
      </c>
      <c r="E599" s="85" t="s">
        <v>383</v>
      </c>
      <c r="F599" s="85"/>
      <c r="G599" s="45" t="s">
        <v>75</v>
      </c>
      <c r="H599" s="31">
        <v>1000238</v>
      </c>
      <c r="I599" s="45" t="s">
        <v>42</v>
      </c>
      <c r="J599" s="45" t="s">
        <v>493</v>
      </c>
      <c r="K599" s="31"/>
      <c r="L599" s="45" t="s">
        <v>222</v>
      </c>
      <c r="M599" s="97">
        <v>7901</v>
      </c>
      <c r="N599" s="97">
        <v>371065</v>
      </c>
      <c r="O599" s="34"/>
      <c r="P599" s="175">
        <v>1</v>
      </c>
      <c r="Q599" s="50" t="s">
        <v>26</v>
      </c>
      <c r="R599" s="51">
        <v>217.6</v>
      </c>
      <c r="S599" s="64">
        <f>Table4[[#This Row],[VALUE]]*Table4[[#This Row],[QTD]]</f>
        <v>217.6</v>
      </c>
    </row>
    <row r="600" spans="1:19" s="32" customFormat="1" ht="15" hidden="1" customHeight="1" x14ac:dyDescent="0.2">
      <c r="A600" s="60"/>
      <c r="B600" s="46">
        <v>45521</v>
      </c>
      <c r="C600" s="55">
        <v>45505</v>
      </c>
      <c r="D600" s="45" t="s">
        <v>27</v>
      </c>
      <c r="E600" s="85" t="s">
        <v>383</v>
      </c>
      <c r="F600" s="85"/>
      <c r="G600" s="45" t="s">
        <v>75</v>
      </c>
      <c r="H600" s="97">
        <v>1000287</v>
      </c>
      <c r="I600" s="45" t="s">
        <v>30</v>
      </c>
      <c r="J600" s="45" t="s">
        <v>494</v>
      </c>
      <c r="K600" s="31">
        <v>7007</v>
      </c>
      <c r="L600" s="45" t="s">
        <v>39</v>
      </c>
      <c r="M600" s="48" t="s">
        <v>40</v>
      </c>
      <c r="N600" s="97">
        <v>371065</v>
      </c>
      <c r="O600" s="34"/>
      <c r="P600" s="175">
        <v>290</v>
      </c>
      <c r="Q600" s="50" t="s">
        <v>34</v>
      </c>
      <c r="R600" s="51">
        <v>12.28</v>
      </c>
      <c r="S600" s="64">
        <f>Table4[[#This Row],[VALUE]]*Table4[[#This Row],[QTD]]</f>
        <v>3561.2</v>
      </c>
    </row>
    <row r="601" spans="1:19" s="32" customFormat="1" ht="15" hidden="1" customHeight="1" x14ac:dyDescent="0.2">
      <c r="A601" s="60"/>
      <c r="B601" s="44">
        <v>45505</v>
      </c>
      <c r="C601" s="55">
        <v>45505</v>
      </c>
      <c r="D601" s="45" t="s">
        <v>41</v>
      </c>
      <c r="E601" s="45" t="s">
        <v>28</v>
      </c>
      <c r="F601" s="45"/>
      <c r="G601" s="45" t="s">
        <v>29</v>
      </c>
      <c r="H601" s="31">
        <v>1000238</v>
      </c>
      <c r="I601" s="45" t="s">
        <v>42</v>
      </c>
      <c r="J601" s="47" t="s">
        <v>504</v>
      </c>
      <c r="K601" s="31"/>
      <c r="L601" s="45" t="s">
        <v>222</v>
      </c>
      <c r="M601" s="97">
        <v>7901</v>
      </c>
      <c r="N601" s="97">
        <v>371094</v>
      </c>
      <c r="O601" s="34"/>
      <c r="P601" s="175">
        <v>1</v>
      </c>
      <c r="Q601" s="50" t="s">
        <v>26</v>
      </c>
      <c r="R601" s="51">
        <v>1597</v>
      </c>
      <c r="S601" s="52">
        <f>Table4[[#This Row],[VALUE]]*Table4[[#This Row],[QTD]]</f>
        <v>1597</v>
      </c>
    </row>
    <row r="602" spans="1:19" s="32" customFormat="1" ht="15" hidden="1" customHeight="1" x14ac:dyDescent="0.2">
      <c r="A602" s="60"/>
      <c r="B602" s="44">
        <v>45505</v>
      </c>
      <c r="C602" s="55">
        <v>45505</v>
      </c>
      <c r="D602" s="47" t="s">
        <v>27</v>
      </c>
      <c r="E602" s="45" t="s">
        <v>28</v>
      </c>
      <c r="F602" s="45"/>
      <c r="G602" s="45" t="s">
        <v>29</v>
      </c>
      <c r="H602" s="97">
        <v>1000287</v>
      </c>
      <c r="I602" s="45" t="s">
        <v>30</v>
      </c>
      <c r="J602" s="47" t="s">
        <v>505</v>
      </c>
      <c r="K602" s="31">
        <v>7024</v>
      </c>
      <c r="L602" s="45" t="s">
        <v>426</v>
      </c>
      <c r="M602" s="48" t="s">
        <v>482</v>
      </c>
      <c r="N602" s="97">
        <v>371094</v>
      </c>
      <c r="O602" s="34"/>
      <c r="P602" s="175">
        <v>1398.9</v>
      </c>
      <c r="Q602" s="50" t="s">
        <v>34</v>
      </c>
      <c r="R602" s="51">
        <v>13.69</v>
      </c>
      <c r="S602" s="52">
        <f>Table4[[#This Row],[VALUE]]*Table4[[#This Row],[QTD]]</f>
        <v>19150.940999999999</v>
      </c>
    </row>
    <row r="603" spans="1:19" s="32" customFormat="1" ht="15" hidden="1" customHeight="1" x14ac:dyDescent="0.2">
      <c r="A603" s="60"/>
      <c r="B603" s="46">
        <v>45525</v>
      </c>
      <c r="C603" s="55">
        <v>45536</v>
      </c>
      <c r="D603" s="45" t="s">
        <v>41</v>
      </c>
      <c r="E603" s="45" t="s">
        <v>383</v>
      </c>
      <c r="F603" s="45"/>
      <c r="G603" s="45" t="s">
        <v>75</v>
      </c>
      <c r="H603" s="31">
        <v>1000238</v>
      </c>
      <c r="I603" s="45" t="s">
        <v>42</v>
      </c>
      <c r="J603" s="45" t="s">
        <v>506</v>
      </c>
      <c r="K603" s="31"/>
      <c r="L603" s="45" t="s">
        <v>222</v>
      </c>
      <c r="M603" s="97">
        <v>7901</v>
      </c>
      <c r="N603" s="97">
        <v>371065</v>
      </c>
      <c r="O603" s="34"/>
      <c r="P603" s="175">
        <v>1</v>
      </c>
      <c r="Q603" s="50" t="s">
        <v>26</v>
      </c>
      <c r="R603" s="51">
        <v>432.31</v>
      </c>
      <c r="S603" s="52">
        <f>Table4[[#This Row],[VALUE]]*Table4[[#This Row],[QTD]]</f>
        <v>432.31</v>
      </c>
    </row>
    <row r="604" spans="1:19" s="32" customFormat="1" ht="15" hidden="1" customHeight="1" x14ac:dyDescent="0.2">
      <c r="A604" s="60"/>
      <c r="B604" s="46">
        <v>45525</v>
      </c>
      <c r="C604" s="55">
        <v>45536</v>
      </c>
      <c r="D604" s="47" t="s">
        <v>27</v>
      </c>
      <c r="E604" s="45" t="s">
        <v>383</v>
      </c>
      <c r="F604" s="45"/>
      <c r="G604" s="45" t="s">
        <v>75</v>
      </c>
      <c r="H604" s="97">
        <v>1000287</v>
      </c>
      <c r="I604" s="45" t="s">
        <v>30</v>
      </c>
      <c r="J604" s="45" t="s">
        <v>507</v>
      </c>
      <c r="K604" s="31">
        <v>7020</v>
      </c>
      <c r="L604" s="45" t="s">
        <v>114</v>
      </c>
      <c r="M604" s="48">
        <v>2045</v>
      </c>
      <c r="N604" s="97">
        <v>371065</v>
      </c>
      <c r="O604" s="34"/>
      <c r="P604" s="175">
        <v>256</v>
      </c>
      <c r="Q604" s="50" t="s">
        <v>34</v>
      </c>
      <c r="R604" s="51">
        <v>12.28</v>
      </c>
      <c r="S604" s="52">
        <f>Table4[[#This Row],[VALUE]]*Table4[[#This Row],[QTD]]</f>
        <v>3143.68</v>
      </c>
    </row>
    <row r="605" spans="1:19" s="32" customFormat="1" ht="15" hidden="1" customHeight="1" x14ac:dyDescent="0.2">
      <c r="A605" s="60"/>
      <c r="B605" s="46">
        <v>45525</v>
      </c>
      <c r="C605" s="55">
        <v>45536</v>
      </c>
      <c r="D605" s="45" t="s">
        <v>41</v>
      </c>
      <c r="E605" s="45" t="s">
        <v>383</v>
      </c>
      <c r="F605" s="45"/>
      <c r="G605" s="45" t="s">
        <v>75</v>
      </c>
      <c r="H605" s="31">
        <v>1000238</v>
      </c>
      <c r="I605" s="45" t="s">
        <v>42</v>
      </c>
      <c r="J605" s="45" t="s">
        <v>506</v>
      </c>
      <c r="K605" s="31"/>
      <c r="L605" s="45" t="s">
        <v>222</v>
      </c>
      <c r="M605" s="97">
        <v>7901</v>
      </c>
      <c r="N605" s="97">
        <v>371065</v>
      </c>
      <c r="O605" s="34"/>
      <c r="P605" s="175">
        <v>1</v>
      </c>
      <c r="Q605" s="50" t="s">
        <v>26</v>
      </c>
      <c r="R605" s="51">
        <v>1232.0999999999999</v>
      </c>
      <c r="S605" s="52">
        <f>Table4[[#This Row],[VALUE]]*Table4[[#This Row],[QTD]]</f>
        <v>1232.0999999999999</v>
      </c>
    </row>
    <row r="606" spans="1:19" s="32" customFormat="1" ht="15" hidden="1" customHeight="1" x14ac:dyDescent="0.2">
      <c r="A606" s="60"/>
      <c r="B606" s="46">
        <v>45525</v>
      </c>
      <c r="C606" s="55">
        <v>45536</v>
      </c>
      <c r="D606" s="47" t="s">
        <v>27</v>
      </c>
      <c r="E606" s="45" t="s">
        <v>383</v>
      </c>
      <c r="F606" s="45"/>
      <c r="G606" s="45" t="s">
        <v>75</v>
      </c>
      <c r="H606" s="97">
        <v>1000287</v>
      </c>
      <c r="I606" s="45" t="s">
        <v>30</v>
      </c>
      <c r="J606" s="45" t="s">
        <v>507</v>
      </c>
      <c r="K606" s="31">
        <v>7020</v>
      </c>
      <c r="L606" s="45" t="s">
        <v>114</v>
      </c>
      <c r="M606" s="48">
        <v>2045</v>
      </c>
      <c r="N606" s="97">
        <v>371065</v>
      </c>
      <c r="O606" s="34"/>
      <c r="P606" s="175">
        <v>392</v>
      </c>
      <c r="Q606" s="50" t="s">
        <v>34</v>
      </c>
      <c r="R606" s="51">
        <v>12.28</v>
      </c>
      <c r="S606" s="52">
        <f>Table4[[#This Row],[VALUE]]*Table4[[#This Row],[QTD]]</f>
        <v>4813.7599999999993</v>
      </c>
    </row>
    <row r="607" spans="1:19" s="32" customFormat="1" ht="15" hidden="1" customHeight="1" x14ac:dyDescent="0.2">
      <c r="A607" s="60"/>
      <c r="B607" s="46">
        <v>45525</v>
      </c>
      <c r="C607" s="55">
        <v>45536</v>
      </c>
      <c r="D607" s="45" t="s">
        <v>41</v>
      </c>
      <c r="E607" s="45" t="s">
        <v>383</v>
      </c>
      <c r="F607" s="45"/>
      <c r="G607" s="45" t="s">
        <v>75</v>
      </c>
      <c r="H607" s="31">
        <v>1000238</v>
      </c>
      <c r="I607" s="45" t="s">
        <v>42</v>
      </c>
      <c r="J607" s="45" t="s">
        <v>506</v>
      </c>
      <c r="K607" s="31"/>
      <c r="L607" s="45" t="s">
        <v>222</v>
      </c>
      <c r="M607" s="97">
        <v>7901</v>
      </c>
      <c r="N607" s="97">
        <v>371065</v>
      </c>
      <c r="O607" s="34"/>
      <c r="P607" s="175">
        <v>1</v>
      </c>
      <c r="Q607" s="50" t="s">
        <v>26</v>
      </c>
      <c r="R607" s="51">
        <v>1706.2</v>
      </c>
      <c r="S607" s="52">
        <f>Table4[[#This Row],[VALUE]]*Table4[[#This Row],[QTD]]</f>
        <v>1706.2</v>
      </c>
    </row>
    <row r="608" spans="1:19" s="32" customFormat="1" ht="15" hidden="1" customHeight="1" x14ac:dyDescent="0.2">
      <c r="A608" s="60"/>
      <c r="B608" s="46">
        <v>45525</v>
      </c>
      <c r="C608" s="55">
        <v>45536</v>
      </c>
      <c r="D608" s="47" t="s">
        <v>27</v>
      </c>
      <c r="E608" s="45" t="s">
        <v>383</v>
      </c>
      <c r="F608" s="45"/>
      <c r="G608" s="45" t="s">
        <v>75</v>
      </c>
      <c r="H608" s="97">
        <v>1000287</v>
      </c>
      <c r="I608" s="45" t="s">
        <v>30</v>
      </c>
      <c r="J608" s="45" t="s">
        <v>507</v>
      </c>
      <c r="K608" s="31">
        <v>7020</v>
      </c>
      <c r="L608" s="45" t="s">
        <v>114</v>
      </c>
      <c r="M608" s="48">
        <v>2045</v>
      </c>
      <c r="N608" s="97">
        <v>371065</v>
      </c>
      <c r="O608" s="34"/>
      <c r="P608" s="175">
        <v>392</v>
      </c>
      <c r="Q608" s="50" t="s">
        <v>34</v>
      </c>
      <c r="R608" s="51">
        <v>12.28</v>
      </c>
      <c r="S608" s="52">
        <f>Table4[[#This Row],[VALUE]]*Table4[[#This Row],[QTD]]</f>
        <v>4813.7599999999993</v>
      </c>
    </row>
    <row r="609" spans="1:19" s="32" customFormat="1" ht="15" hidden="1" customHeight="1" x14ac:dyDescent="0.2">
      <c r="A609" s="60"/>
      <c r="B609" s="46">
        <v>45526</v>
      </c>
      <c r="C609" s="55">
        <v>45536</v>
      </c>
      <c r="D609" s="45" t="s">
        <v>41</v>
      </c>
      <c r="E609" s="85" t="s">
        <v>52</v>
      </c>
      <c r="F609" s="85"/>
      <c r="G609" s="45" t="s">
        <v>75</v>
      </c>
      <c r="H609" s="97">
        <v>1000238</v>
      </c>
      <c r="I609" s="45" t="s">
        <v>42</v>
      </c>
      <c r="J609" s="45" t="s">
        <v>518</v>
      </c>
      <c r="K609" s="31"/>
      <c r="L609" s="45" t="s">
        <v>222</v>
      </c>
      <c r="M609" s="97">
        <v>7901</v>
      </c>
      <c r="N609" s="97">
        <v>371055</v>
      </c>
      <c r="O609" s="34"/>
      <c r="P609" s="175">
        <v>1</v>
      </c>
      <c r="Q609" s="50" t="s">
        <v>26</v>
      </c>
      <c r="R609" s="51">
        <v>294.89999999999998</v>
      </c>
      <c r="S609" s="52">
        <f>Table4[[#This Row],[VALUE]]*Table4[[#This Row],[QTD]]</f>
        <v>294.89999999999998</v>
      </c>
    </row>
    <row r="610" spans="1:19" s="32" customFormat="1" ht="15" hidden="1" customHeight="1" x14ac:dyDescent="0.2">
      <c r="A610" s="60"/>
      <c r="B610" s="46">
        <v>45526</v>
      </c>
      <c r="C610" s="55">
        <v>45536</v>
      </c>
      <c r="D610" s="47" t="s">
        <v>27</v>
      </c>
      <c r="E610" s="85" t="s">
        <v>52</v>
      </c>
      <c r="F610" s="85"/>
      <c r="G610" s="45" t="s">
        <v>75</v>
      </c>
      <c r="H610" s="97">
        <v>1000287</v>
      </c>
      <c r="I610" s="45" t="s">
        <v>30</v>
      </c>
      <c r="J610" s="45" t="s">
        <v>519</v>
      </c>
      <c r="K610" s="31">
        <v>7060</v>
      </c>
      <c r="L610" s="45" t="s">
        <v>49</v>
      </c>
      <c r="M610" s="48" t="s">
        <v>520</v>
      </c>
      <c r="N610" s="97">
        <v>371055</v>
      </c>
      <c r="O610" s="34"/>
      <c r="P610" s="175">
        <v>250</v>
      </c>
      <c r="Q610" s="50" t="s">
        <v>34</v>
      </c>
      <c r="R610" s="51">
        <v>12.28</v>
      </c>
      <c r="S610" s="52">
        <f>Table4[[#This Row],[VALUE]]*Table4[[#This Row],[QTD]]</f>
        <v>3070</v>
      </c>
    </row>
    <row r="611" spans="1:19" s="32" customFormat="1" ht="15" hidden="1" customHeight="1" x14ac:dyDescent="0.2">
      <c r="A611" s="60"/>
      <c r="B611" s="44">
        <v>45541</v>
      </c>
      <c r="C611" s="55">
        <v>45536</v>
      </c>
      <c r="D611" s="47" t="s">
        <v>41</v>
      </c>
      <c r="E611" s="45" t="s">
        <v>74</v>
      </c>
      <c r="F611" s="45"/>
      <c r="G611" s="45" t="s">
        <v>29</v>
      </c>
      <c r="H611" s="97">
        <v>1000238</v>
      </c>
      <c r="I611" s="45" t="s">
        <v>42</v>
      </c>
      <c r="J611" s="47" t="s">
        <v>516</v>
      </c>
      <c r="K611" s="31"/>
      <c r="L611" s="45" t="s">
        <v>222</v>
      </c>
      <c r="M611" s="48">
        <v>7901</v>
      </c>
      <c r="N611" s="97">
        <v>371045</v>
      </c>
      <c r="O611" s="34"/>
      <c r="P611" s="175">
        <v>1</v>
      </c>
      <c r="Q611" s="50" t="s">
        <v>26</v>
      </c>
      <c r="R611" s="51">
        <v>1163.4000000000001</v>
      </c>
      <c r="S611" s="52">
        <f>Table4[[#This Row],[VALUE]]*Table4[[#This Row],[QTD]]</f>
        <v>1163.4000000000001</v>
      </c>
    </row>
    <row r="612" spans="1:19" s="32" customFormat="1" ht="15" hidden="1" customHeight="1" x14ac:dyDescent="0.2">
      <c r="A612" s="60"/>
      <c r="B612" s="44">
        <v>45541</v>
      </c>
      <c r="C612" s="55">
        <v>45536</v>
      </c>
      <c r="D612" s="47" t="s">
        <v>27</v>
      </c>
      <c r="E612" s="45" t="s">
        <v>74</v>
      </c>
      <c r="F612" s="45"/>
      <c r="G612" s="45" t="s">
        <v>29</v>
      </c>
      <c r="H612" s="97">
        <v>1000287</v>
      </c>
      <c r="I612" s="45" t="s">
        <v>30</v>
      </c>
      <c r="J612" s="47" t="s">
        <v>517</v>
      </c>
      <c r="K612" s="31">
        <v>7024</v>
      </c>
      <c r="L612" s="45" t="s">
        <v>426</v>
      </c>
      <c r="M612" s="48" t="s">
        <v>482</v>
      </c>
      <c r="N612" s="97">
        <v>371045</v>
      </c>
      <c r="O612" s="34"/>
      <c r="P612" s="175">
        <v>739.3</v>
      </c>
      <c r="Q612" s="50" t="s">
        <v>34</v>
      </c>
      <c r="R612" s="51">
        <v>13.69</v>
      </c>
      <c r="S612" s="52">
        <f>Table4[[#This Row],[VALUE]]*Table4[[#This Row],[QTD]]</f>
        <v>10121.017</v>
      </c>
    </row>
    <row r="613" spans="1:19" s="30" customFormat="1" ht="15" hidden="1" customHeight="1" x14ac:dyDescent="0.2">
      <c r="A613" s="60"/>
      <c r="B613" s="44">
        <v>45531</v>
      </c>
      <c r="C613" s="99">
        <v>45536</v>
      </c>
      <c r="D613" s="45" t="s">
        <v>41</v>
      </c>
      <c r="E613" s="45" t="s">
        <v>52</v>
      </c>
      <c r="F613" s="45"/>
      <c r="G613" s="45" t="s">
        <v>75</v>
      </c>
      <c r="H613" s="97">
        <v>1000238</v>
      </c>
      <c r="I613" s="45" t="s">
        <v>42</v>
      </c>
      <c r="J613" s="45" t="s">
        <v>508</v>
      </c>
      <c r="K613" s="97"/>
      <c r="L613" s="45" t="s">
        <v>222</v>
      </c>
      <c r="M613" s="97">
        <v>7901</v>
      </c>
      <c r="N613" s="97">
        <v>371055</v>
      </c>
      <c r="O613" s="39"/>
      <c r="P613" s="177">
        <v>1</v>
      </c>
      <c r="Q613" s="50" t="s">
        <v>26</v>
      </c>
      <c r="R613" s="51">
        <v>206.2</v>
      </c>
      <c r="S613" s="52">
        <f>Table4[[#This Row],[VALUE]]*Table4[[#This Row],[QTD]]</f>
        <v>206.2</v>
      </c>
    </row>
    <row r="614" spans="1:19" s="32" customFormat="1" ht="15" hidden="1" customHeight="1" x14ac:dyDescent="0.2">
      <c r="A614" s="60"/>
      <c r="B614" s="46">
        <v>45531</v>
      </c>
      <c r="C614" s="55">
        <v>45536</v>
      </c>
      <c r="D614" s="47" t="s">
        <v>27</v>
      </c>
      <c r="E614" s="45" t="s">
        <v>52</v>
      </c>
      <c r="F614" s="45"/>
      <c r="G614" s="45" t="s">
        <v>75</v>
      </c>
      <c r="H614" s="97">
        <v>1000287</v>
      </c>
      <c r="I614" s="45" t="s">
        <v>30</v>
      </c>
      <c r="J614" s="47" t="s">
        <v>509</v>
      </c>
      <c r="K614" s="31">
        <v>7002</v>
      </c>
      <c r="L614" s="45" t="s">
        <v>164</v>
      </c>
      <c r="M614" s="48" t="s">
        <v>525</v>
      </c>
      <c r="N614" s="97">
        <v>371055</v>
      </c>
      <c r="O614" s="34"/>
      <c r="P614" s="175">
        <v>118</v>
      </c>
      <c r="Q614" s="50" t="s">
        <v>34</v>
      </c>
      <c r="R614" s="51">
        <v>12.28</v>
      </c>
      <c r="S614" s="52">
        <f>Table4[[#This Row],[VALUE]]*Table4[[#This Row],[QTD]]</f>
        <v>1449.04</v>
      </c>
    </row>
    <row r="615" spans="1:19" s="32" customFormat="1" ht="15" hidden="1" customHeight="1" x14ac:dyDescent="0.2">
      <c r="A615" s="60"/>
      <c r="B615" s="46">
        <v>45531</v>
      </c>
      <c r="C615" s="55">
        <v>45536</v>
      </c>
      <c r="D615" s="45" t="s">
        <v>41</v>
      </c>
      <c r="E615" s="45" t="s">
        <v>52</v>
      </c>
      <c r="F615" s="45"/>
      <c r="G615" s="45" t="s">
        <v>75</v>
      </c>
      <c r="H615" s="31">
        <v>1000238</v>
      </c>
      <c r="I615" s="45" t="s">
        <v>42</v>
      </c>
      <c r="J615" s="47" t="s">
        <v>510</v>
      </c>
      <c r="K615" s="31"/>
      <c r="L615" s="45" t="s">
        <v>222</v>
      </c>
      <c r="M615" s="48">
        <v>7901</v>
      </c>
      <c r="N615" s="97">
        <v>371055</v>
      </c>
      <c r="O615" s="34"/>
      <c r="P615" s="175">
        <v>1</v>
      </c>
      <c r="Q615" s="50" t="s">
        <v>26</v>
      </c>
      <c r="R615" s="51">
        <v>0</v>
      </c>
      <c r="S615" s="52">
        <f>Table4[[#This Row],[VALUE]]*Table4[[#This Row],[QTD]]</f>
        <v>0</v>
      </c>
    </row>
    <row r="616" spans="1:19" s="32" customFormat="1" ht="15" hidden="1" customHeight="1" x14ac:dyDescent="0.2">
      <c r="A616" s="60"/>
      <c r="B616" s="46">
        <v>45531</v>
      </c>
      <c r="C616" s="55">
        <v>45536</v>
      </c>
      <c r="D616" s="47" t="s">
        <v>27</v>
      </c>
      <c r="E616" s="45" t="s">
        <v>52</v>
      </c>
      <c r="F616" s="45"/>
      <c r="G616" s="45" t="s">
        <v>75</v>
      </c>
      <c r="H616" s="97">
        <v>1000287</v>
      </c>
      <c r="I616" s="45" t="s">
        <v>30</v>
      </c>
      <c r="J616" s="47" t="s">
        <v>511</v>
      </c>
      <c r="K616" s="31">
        <v>7013</v>
      </c>
      <c r="L616" s="45" t="s">
        <v>521</v>
      </c>
      <c r="M616" s="48" t="s">
        <v>524</v>
      </c>
      <c r="N616" s="97">
        <v>371055</v>
      </c>
      <c r="O616" s="34"/>
      <c r="P616" s="175">
        <v>36</v>
      </c>
      <c r="Q616" s="50" t="s">
        <v>34</v>
      </c>
      <c r="R616" s="51">
        <v>12.28</v>
      </c>
      <c r="S616" s="52">
        <f>Table4[[#This Row],[VALUE]]*Table4[[#This Row],[QTD]]</f>
        <v>442.08</v>
      </c>
    </row>
    <row r="617" spans="1:19" s="32" customFormat="1" ht="15" hidden="1" customHeight="1" x14ac:dyDescent="0.2">
      <c r="A617" s="60"/>
      <c r="B617" s="46">
        <v>45531</v>
      </c>
      <c r="C617" s="55">
        <v>45536</v>
      </c>
      <c r="D617" s="45" t="s">
        <v>41</v>
      </c>
      <c r="E617" s="45" t="s">
        <v>52</v>
      </c>
      <c r="F617" s="45"/>
      <c r="G617" s="45" t="s">
        <v>75</v>
      </c>
      <c r="H617" s="31">
        <v>1000238</v>
      </c>
      <c r="I617" s="45" t="s">
        <v>42</v>
      </c>
      <c r="J617" s="47" t="s">
        <v>512</v>
      </c>
      <c r="K617" s="31"/>
      <c r="L617" s="45" t="s">
        <v>222</v>
      </c>
      <c r="M617" s="48">
        <v>7901</v>
      </c>
      <c r="N617" s="97">
        <v>371055</v>
      </c>
      <c r="O617" s="34"/>
      <c r="P617" s="175">
        <v>1</v>
      </c>
      <c r="Q617" s="50" t="s">
        <v>26</v>
      </c>
      <c r="R617" s="51">
        <v>177.1</v>
      </c>
      <c r="S617" s="52">
        <f>Table4[[#This Row],[VALUE]]*Table4[[#This Row],[QTD]]</f>
        <v>177.1</v>
      </c>
    </row>
    <row r="618" spans="1:19" s="32" customFormat="1" ht="15" hidden="1" customHeight="1" x14ac:dyDescent="0.2">
      <c r="A618" s="60"/>
      <c r="B618" s="46">
        <v>45531</v>
      </c>
      <c r="C618" s="55">
        <v>45536</v>
      </c>
      <c r="D618" s="47" t="s">
        <v>27</v>
      </c>
      <c r="E618" s="45" t="s">
        <v>52</v>
      </c>
      <c r="F618" s="45"/>
      <c r="G618" s="45" t="s">
        <v>75</v>
      </c>
      <c r="H618" s="97">
        <v>1000287</v>
      </c>
      <c r="I618" s="45" t="s">
        <v>30</v>
      </c>
      <c r="J618" s="47" t="s">
        <v>513</v>
      </c>
      <c r="K618" s="31">
        <v>7013</v>
      </c>
      <c r="L618" s="45" t="s">
        <v>521</v>
      </c>
      <c r="M618" s="48"/>
      <c r="N618" s="97">
        <v>371055</v>
      </c>
      <c r="O618" s="34"/>
      <c r="P618" s="175">
        <v>179</v>
      </c>
      <c r="Q618" s="50" t="s">
        <v>34</v>
      </c>
      <c r="R618" s="51">
        <v>12.28</v>
      </c>
      <c r="S618" s="52">
        <f>Table4[[#This Row],[VALUE]]*Table4[[#This Row],[QTD]]</f>
        <v>2198.12</v>
      </c>
    </row>
    <row r="619" spans="1:19" s="32" customFormat="1" ht="15" hidden="1" customHeight="1" x14ac:dyDescent="0.2">
      <c r="A619" s="60"/>
      <c r="B619" s="46">
        <v>45531</v>
      </c>
      <c r="C619" s="55">
        <v>45536</v>
      </c>
      <c r="D619" s="45" t="s">
        <v>41</v>
      </c>
      <c r="E619" s="45" t="s">
        <v>52</v>
      </c>
      <c r="F619" s="45"/>
      <c r="G619" s="45" t="s">
        <v>75</v>
      </c>
      <c r="H619" s="31">
        <v>1000238</v>
      </c>
      <c r="I619" s="45" t="s">
        <v>42</v>
      </c>
      <c r="J619" s="47" t="s">
        <v>512</v>
      </c>
      <c r="K619" s="31"/>
      <c r="L619" s="45" t="s">
        <v>222</v>
      </c>
      <c r="M619" s="48">
        <v>7901</v>
      </c>
      <c r="N619" s="97">
        <v>371055</v>
      </c>
      <c r="O619" s="34"/>
      <c r="P619" s="175">
        <v>1</v>
      </c>
      <c r="Q619" s="50" t="s">
        <v>26</v>
      </c>
      <c r="R619" s="51">
        <v>393.7</v>
      </c>
      <c r="S619" s="52">
        <f>Table4[[#This Row],[VALUE]]*Table4[[#This Row],[QTD]]</f>
        <v>393.7</v>
      </c>
    </row>
    <row r="620" spans="1:19" s="32" customFormat="1" ht="15" hidden="1" customHeight="1" x14ac:dyDescent="0.2">
      <c r="A620" s="60"/>
      <c r="B620" s="46">
        <v>45531</v>
      </c>
      <c r="C620" s="55">
        <v>45536</v>
      </c>
      <c r="D620" s="47" t="s">
        <v>27</v>
      </c>
      <c r="E620" s="45" t="s">
        <v>52</v>
      </c>
      <c r="F620" s="45"/>
      <c r="G620" s="45" t="s">
        <v>75</v>
      </c>
      <c r="H620" s="97">
        <v>1000287</v>
      </c>
      <c r="I620" s="45" t="s">
        <v>30</v>
      </c>
      <c r="J620" s="47" t="s">
        <v>513</v>
      </c>
      <c r="K620" s="31">
        <v>7013</v>
      </c>
      <c r="L620" s="45" t="s">
        <v>521</v>
      </c>
      <c r="M620" s="48"/>
      <c r="N620" s="97">
        <v>371055</v>
      </c>
      <c r="O620" s="34"/>
      <c r="P620" s="175">
        <v>145</v>
      </c>
      <c r="Q620" s="50" t="s">
        <v>34</v>
      </c>
      <c r="R620" s="51">
        <v>12.28</v>
      </c>
      <c r="S620" s="52">
        <f>Table4[[#This Row],[VALUE]]*Table4[[#This Row],[QTD]]</f>
        <v>1780.6</v>
      </c>
    </row>
    <row r="621" spans="1:19" s="32" customFormat="1" ht="15" hidden="1" customHeight="1" x14ac:dyDescent="0.2">
      <c r="A621" s="60"/>
      <c r="B621" s="46">
        <v>45531</v>
      </c>
      <c r="C621" s="55">
        <v>45536</v>
      </c>
      <c r="D621" s="45" t="s">
        <v>41</v>
      </c>
      <c r="E621" s="45" t="s">
        <v>52</v>
      </c>
      <c r="F621" s="45"/>
      <c r="G621" s="45" t="s">
        <v>75</v>
      </c>
      <c r="H621" s="31">
        <v>1000238</v>
      </c>
      <c r="I621" s="45" t="s">
        <v>42</v>
      </c>
      <c r="J621" s="47" t="s">
        <v>514</v>
      </c>
      <c r="K621" s="31"/>
      <c r="L621" s="45" t="s">
        <v>222</v>
      </c>
      <c r="M621" s="48">
        <v>7901</v>
      </c>
      <c r="N621" s="97">
        <v>371065</v>
      </c>
      <c r="O621" s="34"/>
      <c r="P621" s="175">
        <v>1</v>
      </c>
      <c r="Q621" s="50" t="s">
        <v>26</v>
      </c>
      <c r="R621" s="51">
        <v>162</v>
      </c>
      <c r="S621" s="52">
        <f>Table4[[#This Row],[VALUE]]*Table4[[#This Row],[QTD]]</f>
        <v>162</v>
      </c>
    </row>
    <row r="622" spans="1:19" s="32" customFormat="1" ht="15" hidden="1" customHeight="1" x14ac:dyDescent="0.2">
      <c r="A622" s="60"/>
      <c r="B622" s="46">
        <v>45531</v>
      </c>
      <c r="C622" s="55">
        <v>45536</v>
      </c>
      <c r="D622" s="47" t="s">
        <v>27</v>
      </c>
      <c r="E622" s="45" t="s">
        <v>52</v>
      </c>
      <c r="F622" s="45"/>
      <c r="G622" s="45" t="s">
        <v>75</v>
      </c>
      <c r="H622" s="97">
        <v>1000287</v>
      </c>
      <c r="I622" s="45" t="s">
        <v>30</v>
      </c>
      <c r="J622" s="47" t="s">
        <v>515</v>
      </c>
      <c r="K622" s="31">
        <v>7004</v>
      </c>
      <c r="L622" s="45" t="s">
        <v>522</v>
      </c>
      <c r="M622" s="48" t="s">
        <v>523</v>
      </c>
      <c r="N622" s="97">
        <v>371065</v>
      </c>
      <c r="O622" s="34"/>
      <c r="P622" s="175">
        <v>148</v>
      </c>
      <c r="Q622" s="50" t="s">
        <v>34</v>
      </c>
      <c r="R622" s="51">
        <v>12.28</v>
      </c>
      <c r="S622" s="52">
        <f>Table4[[#This Row],[VALUE]]*Table4[[#This Row],[QTD]]</f>
        <v>1817.4399999999998</v>
      </c>
    </row>
    <row r="623" spans="1:19" s="32" customFormat="1" ht="15" hidden="1" customHeight="1" x14ac:dyDescent="0.2">
      <c r="A623" s="60"/>
      <c r="B623" s="46">
        <v>45531</v>
      </c>
      <c r="C623" s="55">
        <v>45536</v>
      </c>
      <c r="D623" s="45" t="s">
        <v>41</v>
      </c>
      <c r="E623" s="45" t="s">
        <v>52</v>
      </c>
      <c r="F623" s="45"/>
      <c r="G623" s="45" t="s">
        <v>75</v>
      </c>
      <c r="H623" s="31">
        <v>1000238</v>
      </c>
      <c r="I623" s="45" t="s">
        <v>42</v>
      </c>
      <c r="J623" s="47" t="s">
        <v>527</v>
      </c>
      <c r="K623" s="31"/>
      <c r="L623" s="45" t="s">
        <v>222</v>
      </c>
      <c r="M623" s="48">
        <v>7901</v>
      </c>
      <c r="N623" s="97">
        <v>371065</v>
      </c>
      <c r="O623" s="34"/>
      <c r="P623" s="175">
        <v>1</v>
      </c>
      <c r="Q623" s="50" t="s">
        <v>26</v>
      </c>
      <c r="R623" s="51">
        <v>163.80000000000001</v>
      </c>
      <c r="S623" s="52">
        <f>Table4[[#This Row],[VALUE]]*Table4[[#This Row],[QTD]]</f>
        <v>163.80000000000001</v>
      </c>
    </row>
    <row r="624" spans="1:19" s="32" customFormat="1" ht="15" hidden="1" customHeight="1" x14ac:dyDescent="0.2">
      <c r="A624" s="60"/>
      <c r="B624" s="46">
        <v>45531</v>
      </c>
      <c r="C624" s="55">
        <v>45536</v>
      </c>
      <c r="D624" s="47" t="s">
        <v>27</v>
      </c>
      <c r="E624" s="45" t="s">
        <v>52</v>
      </c>
      <c r="F624" s="45"/>
      <c r="G624" s="45" t="s">
        <v>75</v>
      </c>
      <c r="H624" s="97">
        <v>1000287</v>
      </c>
      <c r="I624" s="45" t="s">
        <v>30</v>
      </c>
      <c r="J624" s="47" t="s">
        <v>526</v>
      </c>
      <c r="K624" s="31">
        <v>7013</v>
      </c>
      <c r="L624" s="45" t="s">
        <v>521</v>
      </c>
      <c r="M624" s="48" t="s">
        <v>524</v>
      </c>
      <c r="N624" s="97">
        <v>371065</v>
      </c>
      <c r="O624" s="34"/>
      <c r="P624" s="175">
        <v>250</v>
      </c>
      <c r="Q624" s="50" t="s">
        <v>34</v>
      </c>
      <c r="R624" s="51">
        <v>12.28</v>
      </c>
      <c r="S624" s="52">
        <f>Table4[[#This Row],[VALUE]]*Table4[[#This Row],[QTD]]</f>
        <v>3070</v>
      </c>
    </row>
    <row r="625" spans="1:19" s="32" customFormat="1" ht="15" hidden="1" customHeight="1" x14ac:dyDescent="0.2">
      <c r="A625" s="60"/>
      <c r="B625" s="46">
        <v>45549</v>
      </c>
      <c r="C625" s="55">
        <v>45536</v>
      </c>
      <c r="D625" s="45" t="s">
        <v>41</v>
      </c>
      <c r="E625" s="45" t="s">
        <v>74</v>
      </c>
      <c r="F625" s="45"/>
      <c r="G625" s="45" t="s">
        <v>75</v>
      </c>
      <c r="H625" s="31">
        <v>1000238</v>
      </c>
      <c r="I625" s="45" t="s">
        <v>42</v>
      </c>
      <c r="J625" s="47" t="s">
        <v>528</v>
      </c>
      <c r="K625" s="31"/>
      <c r="L625" s="45" t="s">
        <v>222</v>
      </c>
      <c r="M625" s="48">
        <v>7901</v>
      </c>
      <c r="N625" s="97">
        <v>371045</v>
      </c>
      <c r="O625" s="34"/>
      <c r="P625" s="175">
        <v>1</v>
      </c>
      <c r="Q625" s="50" t="s">
        <v>26</v>
      </c>
      <c r="R625" s="51">
        <v>805.2</v>
      </c>
      <c r="S625" s="52">
        <f>Table4[[#This Row],[VALUE]]*Table4[[#This Row],[QTD]]</f>
        <v>805.2</v>
      </c>
    </row>
    <row r="626" spans="1:19" s="32" customFormat="1" ht="15" hidden="1" customHeight="1" x14ac:dyDescent="0.2">
      <c r="A626" s="60"/>
      <c r="B626" s="46">
        <v>45549</v>
      </c>
      <c r="C626" s="55">
        <v>45536</v>
      </c>
      <c r="D626" s="47" t="s">
        <v>27</v>
      </c>
      <c r="E626" s="45" t="s">
        <v>74</v>
      </c>
      <c r="F626" s="45"/>
      <c r="G626" s="45" t="s">
        <v>75</v>
      </c>
      <c r="H626" s="97">
        <v>1000287</v>
      </c>
      <c r="I626" s="45" t="s">
        <v>30</v>
      </c>
      <c r="J626" s="47" t="s">
        <v>529</v>
      </c>
      <c r="K626" s="31">
        <v>7019</v>
      </c>
      <c r="L626" s="45" t="s">
        <v>355</v>
      </c>
      <c r="M626" s="48" t="s">
        <v>530</v>
      </c>
      <c r="N626" s="97">
        <v>371045</v>
      </c>
      <c r="O626" s="34"/>
      <c r="P626" s="175">
        <v>608</v>
      </c>
      <c r="Q626" s="50" t="s">
        <v>34</v>
      </c>
      <c r="R626" s="51">
        <v>12.28</v>
      </c>
      <c r="S626" s="52">
        <f>Table4[[#This Row],[VALUE]]*Table4[[#This Row],[QTD]]</f>
        <v>7466.24</v>
      </c>
    </row>
    <row r="627" spans="1:19" s="32" customFormat="1" ht="15" hidden="1" customHeight="1" x14ac:dyDescent="0.2">
      <c r="A627" s="60"/>
      <c r="B627" s="46">
        <v>45532</v>
      </c>
      <c r="C627" s="55">
        <v>45536</v>
      </c>
      <c r="D627" s="45" t="s">
        <v>41</v>
      </c>
      <c r="E627" s="45" t="s">
        <v>383</v>
      </c>
      <c r="F627" s="45"/>
      <c r="G627" s="45" t="s">
        <v>75</v>
      </c>
      <c r="H627" s="31">
        <v>1000238</v>
      </c>
      <c r="I627" s="45" t="s">
        <v>42</v>
      </c>
      <c r="J627" s="47" t="s">
        <v>531</v>
      </c>
      <c r="K627" s="31"/>
      <c r="L627" s="45" t="s">
        <v>222</v>
      </c>
      <c r="M627" s="48">
        <v>7901</v>
      </c>
      <c r="N627" s="97">
        <v>371065</v>
      </c>
      <c r="O627" s="34"/>
      <c r="P627" s="175">
        <v>1</v>
      </c>
      <c r="Q627" s="50" t="s">
        <v>26</v>
      </c>
      <c r="R627" s="51">
        <v>449.32</v>
      </c>
      <c r="S627" s="52">
        <f>Table4[[#This Row],[VALUE]]*Table4[[#This Row],[QTD]]</f>
        <v>449.32</v>
      </c>
    </row>
    <row r="628" spans="1:19" s="32" customFormat="1" ht="15" hidden="1" customHeight="1" x14ac:dyDescent="0.2">
      <c r="A628" s="60"/>
      <c r="B628" s="46">
        <v>45532</v>
      </c>
      <c r="C628" s="55">
        <v>45536</v>
      </c>
      <c r="D628" s="47" t="s">
        <v>27</v>
      </c>
      <c r="E628" s="45" t="s">
        <v>383</v>
      </c>
      <c r="F628" s="45"/>
      <c r="G628" s="45" t="s">
        <v>75</v>
      </c>
      <c r="H628" s="97">
        <v>1000287</v>
      </c>
      <c r="I628" s="45" t="s">
        <v>30</v>
      </c>
      <c r="J628" s="47" t="s">
        <v>532</v>
      </c>
      <c r="K628" s="31">
        <v>7106</v>
      </c>
      <c r="L628" s="45" t="s">
        <v>405</v>
      </c>
      <c r="M628" s="48">
        <v>2081</v>
      </c>
      <c r="N628" s="97">
        <v>371065</v>
      </c>
      <c r="O628" s="34"/>
      <c r="P628" s="175"/>
      <c r="Q628" s="50" t="s">
        <v>34</v>
      </c>
      <c r="R628" s="51">
        <v>12.28</v>
      </c>
      <c r="S628" s="52">
        <f>Table4[[#This Row],[VALUE]]*Table4[[#This Row],[QTD]]</f>
        <v>0</v>
      </c>
    </row>
    <row r="629" spans="1:19" s="32" customFormat="1" ht="15" hidden="1" customHeight="1" x14ac:dyDescent="0.2">
      <c r="A629" s="60"/>
      <c r="B629" s="46">
        <v>45532</v>
      </c>
      <c r="C629" s="55">
        <v>45537</v>
      </c>
      <c r="D629" s="47" t="s">
        <v>41</v>
      </c>
      <c r="E629" s="45" t="s">
        <v>383</v>
      </c>
      <c r="F629" s="45"/>
      <c r="G629" s="45" t="s">
        <v>75</v>
      </c>
      <c r="H629" s="97">
        <v>1000238</v>
      </c>
      <c r="I629" s="45" t="s">
        <v>42</v>
      </c>
      <c r="J629" s="47" t="s">
        <v>533</v>
      </c>
      <c r="K629" s="31"/>
      <c r="L629" s="45" t="s">
        <v>222</v>
      </c>
      <c r="M629" s="48">
        <v>7901</v>
      </c>
      <c r="N629" s="97">
        <v>371065</v>
      </c>
      <c r="O629" s="34"/>
      <c r="P629" s="175">
        <v>1</v>
      </c>
      <c r="Q629" s="50" t="s">
        <v>26</v>
      </c>
      <c r="R629" s="51">
        <v>447.32</v>
      </c>
      <c r="S629" s="52">
        <f>Table4[[#This Row],[VALUE]]*Table4[[#This Row],[QTD]]</f>
        <v>447.32</v>
      </c>
    </row>
    <row r="630" spans="1:19" s="32" customFormat="1" ht="15" hidden="1" customHeight="1" x14ac:dyDescent="0.2">
      <c r="A630" s="60"/>
      <c r="B630" s="46">
        <v>45532</v>
      </c>
      <c r="C630" s="55">
        <v>45538</v>
      </c>
      <c r="D630" s="47" t="s">
        <v>27</v>
      </c>
      <c r="E630" s="45" t="s">
        <v>383</v>
      </c>
      <c r="F630" s="45"/>
      <c r="G630" s="45" t="s">
        <v>75</v>
      </c>
      <c r="H630" s="97">
        <v>1000287</v>
      </c>
      <c r="I630" s="45" t="s">
        <v>30</v>
      </c>
      <c r="J630" s="47" t="s">
        <v>534</v>
      </c>
      <c r="K630" s="31">
        <v>7106</v>
      </c>
      <c r="L630" s="45" t="s">
        <v>405</v>
      </c>
      <c r="M630" s="48">
        <v>2081</v>
      </c>
      <c r="N630" s="97">
        <v>371065</v>
      </c>
      <c r="O630" s="34"/>
      <c r="P630" s="175"/>
      <c r="Q630" s="50" t="s">
        <v>34</v>
      </c>
      <c r="R630" s="51">
        <v>12.28</v>
      </c>
      <c r="S630" s="52">
        <f>Table4[[#This Row],[VALUE]]*Table4[[#This Row],[QTD]]</f>
        <v>0</v>
      </c>
    </row>
    <row r="631" spans="1:19" s="31" customFormat="1" ht="15" hidden="1" customHeight="1" x14ac:dyDescent="0.2">
      <c r="A631" s="60"/>
      <c r="B631" s="46">
        <v>45555</v>
      </c>
      <c r="C631" s="55">
        <v>45536</v>
      </c>
      <c r="D631" s="47" t="s">
        <v>41</v>
      </c>
      <c r="E631" s="45" t="s">
        <v>52</v>
      </c>
      <c r="F631" s="45"/>
      <c r="G631" s="45" t="s">
        <v>75</v>
      </c>
      <c r="H631" s="97">
        <v>1000238</v>
      </c>
      <c r="I631" s="45" t="s">
        <v>42</v>
      </c>
      <c r="J631" s="47" t="s">
        <v>535</v>
      </c>
      <c r="L631" s="45" t="s">
        <v>222</v>
      </c>
      <c r="M631" s="48">
        <v>7901</v>
      </c>
      <c r="N631" s="97">
        <v>371055</v>
      </c>
      <c r="O631" s="34"/>
      <c r="P631" s="175">
        <v>1</v>
      </c>
      <c r="Q631" s="50" t="s">
        <v>26</v>
      </c>
      <c r="R631" s="51">
        <v>805.2</v>
      </c>
      <c r="S631" s="52">
        <f>Table4[[#This Row],[VALUE]]*Table4[[#This Row],[QTD]]</f>
        <v>805.2</v>
      </c>
    </row>
    <row r="632" spans="1:19" s="31" customFormat="1" ht="15" hidden="1" customHeight="1" x14ac:dyDescent="0.2">
      <c r="A632" s="60"/>
      <c r="B632" s="46">
        <v>45555</v>
      </c>
      <c r="C632" s="55">
        <v>45536</v>
      </c>
      <c r="D632" s="47" t="s">
        <v>27</v>
      </c>
      <c r="E632" s="45" t="s">
        <v>52</v>
      </c>
      <c r="F632" s="45"/>
      <c r="G632" s="45" t="s">
        <v>75</v>
      </c>
      <c r="H632" s="97">
        <v>1000287</v>
      </c>
      <c r="I632" s="45" t="s">
        <v>30</v>
      </c>
      <c r="J632" s="47" t="s">
        <v>536</v>
      </c>
      <c r="K632" s="31">
        <v>7024</v>
      </c>
      <c r="L632" s="45" t="s">
        <v>406</v>
      </c>
      <c r="M632" s="48" t="s">
        <v>547</v>
      </c>
      <c r="N632" s="97">
        <v>371055</v>
      </c>
      <c r="O632" s="34"/>
      <c r="P632" s="175">
        <v>592</v>
      </c>
      <c r="Q632" s="50" t="s">
        <v>34</v>
      </c>
      <c r="R632" s="51">
        <v>12.28</v>
      </c>
      <c r="S632" s="52">
        <f>Table4[[#This Row],[VALUE]]*Table4[[#This Row],[QTD]]</f>
        <v>7269.7599999999993</v>
      </c>
    </row>
    <row r="633" spans="1:19" s="31" customFormat="1" ht="15" hidden="1" customHeight="1" x14ac:dyDescent="0.2">
      <c r="A633" s="60"/>
      <c r="B633" s="46">
        <v>45555</v>
      </c>
      <c r="C633" s="55">
        <v>45536</v>
      </c>
      <c r="D633" s="47" t="s">
        <v>41</v>
      </c>
      <c r="E633" s="45" t="s">
        <v>464</v>
      </c>
      <c r="F633" s="45"/>
      <c r="G633" s="45" t="s">
        <v>75</v>
      </c>
      <c r="H633" s="97">
        <v>1000238</v>
      </c>
      <c r="I633" s="45" t="s">
        <v>42</v>
      </c>
      <c r="J633" s="47" t="s">
        <v>537</v>
      </c>
      <c r="L633" s="45" t="s">
        <v>222</v>
      </c>
      <c r="M633" s="48">
        <v>7901</v>
      </c>
      <c r="N633" s="97">
        <v>375030</v>
      </c>
      <c r="O633" s="34"/>
      <c r="P633" s="175">
        <v>1</v>
      </c>
      <c r="Q633" s="50" t="s">
        <v>26</v>
      </c>
      <c r="R633" s="51">
        <v>206.99</v>
      </c>
      <c r="S633" s="52">
        <f>Table4[[#This Row],[VALUE]]*Table4[[#This Row],[QTD]]</f>
        <v>206.99</v>
      </c>
    </row>
    <row r="634" spans="1:19" s="31" customFormat="1" ht="15" hidden="1" customHeight="1" x14ac:dyDescent="0.2">
      <c r="A634" s="60"/>
      <c r="B634" s="46">
        <v>45555</v>
      </c>
      <c r="C634" s="55">
        <v>45536</v>
      </c>
      <c r="D634" s="47" t="s">
        <v>27</v>
      </c>
      <c r="E634" s="45" t="s">
        <v>464</v>
      </c>
      <c r="F634" s="45"/>
      <c r="G634" s="45" t="s">
        <v>75</v>
      </c>
      <c r="H634" s="97">
        <v>1000287</v>
      </c>
      <c r="I634" s="45" t="s">
        <v>30</v>
      </c>
      <c r="J634" s="47" t="s">
        <v>538</v>
      </c>
      <c r="K634" s="31">
        <v>7067</v>
      </c>
      <c r="L634" s="45" t="s">
        <v>546</v>
      </c>
      <c r="M634" s="48" t="s">
        <v>68</v>
      </c>
      <c r="N634" s="97">
        <v>375030</v>
      </c>
      <c r="O634" s="34"/>
      <c r="P634" s="175">
        <v>250</v>
      </c>
      <c r="Q634" s="50" t="s">
        <v>34</v>
      </c>
      <c r="R634" s="51">
        <v>12.28</v>
      </c>
      <c r="S634" s="52">
        <f>Table4[[#This Row],[VALUE]]*Table4[[#This Row],[QTD]]</f>
        <v>3070</v>
      </c>
    </row>
    <row r="635" spans="1:19" s="31" customFormat="1" ht="15" hidden="1" customHeight="1" x14ac:dyDescent="0.2">
      <c r="A635" s="60"/>
      <c r="B635" s="46">
        <v>45555</v>
      </c>
      <c r="C635" s="55">
        <v>45536</v>
      </c>
      <c r="D635" s="47" t="s">
        <v>41</v>
      </c>
      <c r="E635" s="45" t="s">
        <v>52</v>
      </c>
      <c r="F635" s="45"/>
      <c r="G635" s="45" t="s">
        <v>75</v>
      </c>
      <c r="H635" s="97">
        <v>1000238</v>
      </c>
      <c r="I635" s="45" t="s">
        <v>42</v>
      </c>
      <c r="J635" s="47" t="s">
        <v>539</v>
      </c>
      <c r="L635" s="45" t="s">
        <v>222</v>
      </c>
      <c r="M635" s="48">
        <v>7901</v>
      </c>
      <c r="N635" s="97">
        <v>371055</v>
      </c>
      <c r="O635" s="34"/>
      <c r="P635" s="175">
        <v>1</v>
      </c>
      <c r="Q635" s="50" t="s">
        <v>26</v>
      </c>
      <c r="R635" s="51">
        <v>678.9</v>
      </c>
      <c r="S635" s="52">
        <f>Table4[[#This Row],[VALUE]]*Table4[[#This Row],[QTD]]</f>
        <v>678.9</v>
      </c>
    </row>
    <row r="636" spans="1:19" s="31" customFormat="1" ht="15" hidden="1" customHeight="1" x14ac:dyDescent="0.2">
      <c r="A636" s="60"/>
      <c r="B636" s="46">
        <v>45555</v>
      </c>
      <c r="C636" s="55">
        <v>45536</v>
      </c>
      <c r="D636" s="47" t="s">
        <v>27</v>
      </c>
      <c r="E636" s="45" t="s">
        <v>52</v>
      </c>
      <c r="F636" s="45"/>
      <c r="G636" s="45" t="s">
        <v>75</v>
      </c>
      <c r="H636" s="97">
        <v>1000287</v>
      </c>
      <c r="I636" s="45" t="s">
        <v>30</v>
      </c>
      <c r="J636" s="47" t="s">
        <v>540</v>
      </c>
      <c r="K636" s="31">
        <v>7024</v>
      </c>
      <c r="L636" s="45" t="s">
        <v>406</v>
      </c>
      <c r="M636" s="48" t="s">
        <v>547</v>
      </c>
      <c r="N636" s="97">
        <v>371055</v>
      </c>
      <c r="O636" s="34"/>
      <c r="P636" s="175">
        <v>590</v>
      </c>
      <c r="Q636" s="50" t="s">
        <v>34</v>
      </c>
      <c r="R636" s="51">
        <v>12.28</v>
      </c>
      <c r="S636" s="52">
        <f>Table4[[#This Row],[VALUE]]*Table4[[#This Row],[QTD]]</f>
        <v>7245.2</v>
      </c>
    </row>
    <row r="637" spans="1:19" s="31" customFormat="1" ht="15" hidden="1" customHeight="1" x14ac:dyDescent="0.2">
      <c r="A637" s="60"/>
      <c r="B637" s="46">
        <v>45555</v>
      </c>
      <c r="C637" s="55">
        <v>45536</v>
      </c>
      <c r="D637" s="47" t="s">
        <v>41</v>
      </c>
      <c r="E637" s="45" t="s">
        <v>52</v>
      </c>
      <c r="F637" s="45"/>
      <c r="G637" s="45" t="s">
        <v>75</v>
      </c>
      <c r="H637" s="97">
        <v>1000238</v>
      </c>
      <c r="I637" s="45" t="s">
        <v>42</v>
      </c>
      <c r="J637" s="47" t="s">
        <v>539</v>
      </c>
      <c r="L637" s="45" t="s">
        <v>222</v>
      </c>
      <c r="M637" s="48">
        <v>7901</v>
      </c>
      <c r="N637" s="97">
        <v>371055</v>
      </c>
      <c r="O637" s="34"/>
      <c r="P637" s="175">
        <v>1</v>
      </c>
      <c r="Q637" s="50" t="s">
        <v>26</v>
      </c>
      <c r="R637" s="51">
        <v>678.9</v>
      </c>
      <c r="S637" s="52">
        <f>Table4[[#This Row],[VALUE]]*Table4[[#This Row],[QTD]]</f>
        <v>678.9</v>
      </c>
    </row>
    <row r="638" spans="1:19" s="31" customFormat="1" ht="15" hidden="1" customHeight="1" x14ac:dyDescent="0.2">
      <c r="A638" s="60"/>
      <c r="B638" s="46">
        <v>45555</v>
      </c>
      <c r="C638" s="55">
        <v>45536</v>
      </c>
      <c r="D638" s="47" t="s">
        <v>27</v>
      </c>
      <c r="E638" s="45" t="s">
        <v>52</v>
      </c>
      <c r="F638" s="45"/>
      <c r="G638" s="45" t="s">
        <v>75</v>
      </c>
      <c r="H638" s="97">
        <v>1000287</v>
      </c>
      <c r="I638" s="45" t="s">
        <v>30</v>
      </c>
      <c r="J638" s="47" t="s">
        <v>541</v>
      </c>
      <c r="K638" s="31">
        <v>7024</v>
      </c>
      <c r="L638" s="45" t="s">
        <v>406</v>
      </c>
      <c r="M638" s="48" t="s">
        <v>547</v>
      </c>
      <c r="N638" s="97">
        <v>371055</v>
      </c>
      <c r="O638" s="34"/>
      <c r="P638" s="175">
        <v>594</v>
      </c>
      <c r="Q638" s="50" t="s">
        <v>34</v>
      </c>
      <c r="R638" s="51">
        <v>12.28</v>
      </c>
      <c r="S638" s="52">
        <f>Table4[[#This Row],[VALUE]]*Table4[[#This Row],[QTD]]</f>
        <v>7294.32</v>
      </c>
    </row>
    <row r="639" spans="1:19" s="31" customFormat="1" ht="15" hidden="1" customHeight="1" x14ac:dyDescent="0.2">
      <c r="A639" s="60"/>
      <c r="B639" s="46">
        <v>45556</v>
      </c>
      <c r="C639" s="55">
        <v>45536</v>
      </c>
      <c r="D639" s="47" t="s">
        <v>41</v>
      </c>
      <c r="E639" s="45" t="s">
        <v>74</v>
      </c>
      <c r="F639" s="45"/>
      <c r="G639" s="45" t="s">
        <v>75</v>
      </c>
      <c r="H639" s="97">
        <v>1000238</v>
      </c>
      <c r="I639" s="45" t="s">
        <v>42</v>
      </c>
      <c r="J639" s="47" t="s">
        <v>542</v>
      </c>
      <c r="L639" s="45" t="s">
        <v>222</v>
      </c>
      <c r="M639" s="48">
        <v>7901</v>
      </c>
      <c r="N639" s="97">
        <v>371045</v>
      </c>
      <c r="O639" s="34"/>
      <c r="P639" s="175">
        <v>1</v>
      </c>
      <c r="Q639" s="50" t="s">
        <v>26</v>
      </c>
      <c r="R639" s="51">
        <v>330.7</v>
      </c>
      <c r="S639" s="52">
        <f>Table4[[#This Row],[VALUE]]*Table4[[#This Row],[QTD]]</f>
        <v>330.7</v>
      </c>
    </row>
    <row r="640" spans="1:19" s="31" customFormat="1" ht="15" hidden="1" customHeight="1" x14ac:dyDescent="0.2">
      <c r="A640" s="60"/>
      <c r="B640" s="46">
        <v>45556</v>
      </c>
      <c r="C640" s="55">
        <v>45536</v>
      </c>
      <c r="D640" s="47" t="s">
        <v>27</v>
      </c>
      <c r="E640" s="45" t="s">
        <v>74</v>
      </c>
      <c r="F640" s="45"/>
      <c r="G640" s="45" t="s">
        <v>75</v>
      </c>
      <c r="H640" s="97">
        <v>1000287</v>
      </c>
      <c r="I640" s="45" t="s">
        <v>30</v>
      </c>
      <c r="J640" s="47" t="s">
        <v>543</v>
      </c>
      <c r="K640" s="31">
        <v>7010</v>
      </c>
      <c r="L640" s="45" t="s">
        <v>548</v>
      </c>
      <c r="M640" s="48" t="s">
        <v>545</v>
      </c>
      <c r="N640" s="97">
        <v>371045</v>
      </c>
      <c r="O640" s="34"/>
      <c r="P640" s="175">
        <v>347</v>
      </c>
      <c r="Q640" s="50" t="s">
        <v>34</v>
      </c>
      <c r="R640" s="51">
        <v>12.28</v>
      </c>
      <c r="S640" s="52">
        <f>Table4[[#This Row],[VALUE]]*Table4[[#This Row],[QTD]]</f>
        <v>4261.16</v>
      </c>
    </row>
    <row r="641" spans="1:19" s="31" customFormat="1" ht="15" hidden="1" customHeight="1" x14ac:dyDescent="0.2">
      <c r="A641" s="60"/>
      <c r="B641" s="46">
        <v>45556</v>
      </c>
      <c r="C641" s="55">
        <v>45536</v>
      </c>
      <c r="D641" s="47" t="s">
        <v>41</v>
      </c>
      <c r="E641" s="45" t="s">
        <v>74</v>
      </c>
      <c r="F641" s="45"/>
      <c r="G641" s="45" t="s">
        <v>75</v>
      </c>
      <c r="H641" s="97">
        <v>1000238</v>
      </c>
      <c r="I641" s="45" t="s">
        <v>42</v>
      </c>
      <c r="J641" s="47" t="s">
        <v>544</v>
      </c>
      <c r="L641" s="45" t="s">
        <v>222</v>
      </c>
      <c r="M641" s="48">
        <v>7901</v>
      </c>
      <c r="N641" s="97">
        <v>371045</v>
      </c>
      <c r="O641" s="34"/>
      <c r="P641" s="175">
        <v>1</v>
      </c>
      <c r="Q641" s="50" t="s">
        <v>26</v>
      </c>
      <c r="R641" s="51">
        <v>306.5</v>
      </c>
      <c r="S641" s="52">
        <f>Table4[[#This Row],[VALUE]]*Table4[[#This Row],[QTD]]</f>
        <v>306.5</v>
      </c>
    </row>
    <row r="642" spans="1:19" s="31" customFormat="1" ht="15" hidden="1" customHeight="1" x14ac:dyDescent="0.2">
      <c r="A642" s="60"/>
      <c r="B642" s="46">
        <v>45556</v>
      </c>
      <c r="C642" s="55">
        <v>45536</v>
      </c>
      <c r="D642" s="47" t="s">
        <v>27</v>
      </c>
      <c r="E642" s="45" t="s">
        <v>74</v>
      </c>
      <c r="F642" s="45"/>
      <c r="G642" s="45" t="s">
        <v>75</v>
      </c>
      <c r="H642" s="97">
        <v>1000287</v>
      </c>
      <c r="I642" s="45" t="s">
        <v>30</v>
      </c>
      <c r="J642" s="47" t="s">
        <v>543</v>
      </c>
      <c r="K642" s="31">
        <v>7010</v>
      </c>
      <c r="L642" s="45" t="s">
        <v>548</v>
      </c>
      <c r="M642" s="48" t="s">
        <v>545</v>
      </c>
      <c r="N642" s="97">
        <v>371045</v>
      </c>
      <c r="O642" s="34"/>
      <c r="P642" s="175">
        <v>371</v>
      </c>
      <c r="Q642" s="50" t="s">
        <v>34</v>
      </c>
      <c r="R642" s="51">
        <v>12.28</v>
      </c>
      <c r="S642" s="52">
        <f>Table4[[#This Row],[VALUE]]*Table4[[#This Row],[QTD]]</f>
        <v>4555.88</v>
      </c>
    </row>
    <row r="643" spans="1:19" s="31" customFormat="1" ht="15" hidden="1" customHeight="1" x14ac:dyDescent="0.2">
      <c r="A643" s="60"/>
      <c r="B643" s="46">
        <v>45546</v>
      </c>
      <c r="C643" s="55">
        <v>45536</v>
      </c>
      <c r="D643" s="45" t="s">
        <v>285</v>
      </c>
      <c r="E643" s="85" t="s">
        <v>260</v>
      </c>
      <c r="F643" s="85"/>
      <c r="G643" s="45" t="s">
        <v>287</v>
      </c>
      <c r="H643" s="97" t="s">
        <v>288</v>
      </c>
      <c r="I643" s="45" t="s">
        <v>289</v>
      </c>
      <c r="J643" s="45" t="s">
        <v>446</v>
      </c>
      <c r="L643" s="45" t="s">
        <v>222</v>
      </c>
      <c r="M643" s="48">
        <v>7901</v>
      </c>
      <c r="N643" s="97">
        <v>371068</v>
      </c>
      <c r="O643" s="34"/>
      <c r="P643" s="175">
        <v>2</v>
      </c>
      <c r="Q643" s="50" t="s">
        <v>26</v>
      </c>
      <c r="R643" s="51">
        <v>14</v>
      </c>
      <c r="S643" s="52">
        <f>Table4[[#This Row],[VALUE]]*Table4[[#This Row],[QTD]]</f>
        <v>28</v>
      </c>
    </row>
    <row r="644" spans="1:19" s="31" customFormat="1" ht="15" hidden="1" customHeight="1" x14ac:dyDescent="0.2">
      <c r="A644" s="60"/>
      <c r="B644" s="46">
        <v>45546</v>
      </c>
      <c r="C644" s="55">
        <v>45536</v>
      </c>
      <c r="D644" s="45" t="s">
        <v>285</v>
      </c>
      <c r="E644" s="85" t="s">
        <v>260</v>
      </c>
      <c r="F644" s="85"/>
      <c r="G644" s="45" t="s">
        <v>287</v>
      </c>
      <c r="H644" s="97" t="s">
        <v>288</v>
      </c>
      <c r="I644" s="45" t="s">
        <v>289</v>
      </c>
      <c r="J644" s="45" t="s">
        <v>446</v>
      </c>
      <c r="L644" s="45" t="s">
        <v>222</v>
      </c>
      <c r="M644" s="48">
        <v>7901</v>
      </c>
      <c r="N644" s="97">
        <v>371068</v>
      </c>
      <c r="O644" s="34"/>
      <c r="P644" s="175">
        <v>2</v>
      </c>
      <c r="Q644" s="50" t="s">
        <v>26</v>
      </c>
      <c r="R644" s="51">
        <v>14</v>
      </c>
      <c r="S644" s="52">
        <f>Table4[[#This Row],[VALUE]]*Table4[[#This Row],[QTD]]</f>
        <v>28</v>
      </c>
    </row>
    <row r="645" spans="1:19" s="31" customFormat="1" ht="15" hidden="1" customHeight="1" x14ac:dyDescent="0.2">
      <c r="A645" s="60"/>
      <c r="B645" s="46">
        <v>45547</v>
      </c>
      <c r="C645" s="55">
        <v>45536</v>
      </c>
      <c r="D645" s="45" t="s">
        <v>285</v>
      </c>
      <c r="E645" s="85" t="s">
        <v>464</v>
      </c>
      <c r="F645" s="85"/>
      <c r="G645" s="45" t="s">
        <v>287</v>
      </c>
      <c r="H645" s="97" t="s">
        <v>288</v>
      </c>
      <c r="I645" s="45" t="s">
        <v>289</v>
      </c>
      <c r="J645" s="45" t="s">
        <v>446</v>
      </c>
      <c r="L645" s="45" t="s">
        <v>222</v>
      </c>
      <c r="M645" s="48">
        <v>7901</v>
      </c>
      <c r="N645" s="97">
        <v>375030</v>
      </c>
      <c r="O645" s="34"/>
      <c r="P645" s="175">
        <v>12</v>
      </c>
      <c r="Q645" s="50" t="s">
        <v>26</v>
      </c>
      <c r="R645" s="51">
        <v>14</v>
      </c>
      <c r="S645" s="52">
        <f>Table4[[#This Row],[VALUE]]*Table4[[#This Row],[QTD]]</f>
        <v>168</v>
      </c>
    </row>
    <row r="646" spans="1:19" s="31" customFormat="1" ht="15" hidden="1" customHeight="1" x14ac:dyDescent="0.2">
      <c r="A646" s="60"/>
      <c r="B646" s="46">
        <v>45548</v>
      </c>
      <c r="C646" s="55">
        <v>45536</v>
      </c>
      <c r="D646" s="45" t="s">
        <v>285</v>
      </c>
      <c r="E646" s="45" t="s">
        <v>383</v>
      </c>
      <c r="F646" s="45"/>
      <c r="G646" s="45" t="s">
        <v>287</v>
      </c>
      <c r="H646" s="97" t="s">
        <v>288</v>
      </c>
      <c r="I646" s="45" t="s">
        <v>289</v>
      </c>
      <c r="J646" s="47" t="s">
        <v>549</v>
      </c>
      <c r="L646" s="45" t="s">
        <v>222</v>
      </c>
      <c r="M646" s="97">
        <v>7901</v>
      </c>
      <c r="N646" s="97">
        <v>371065</v>
      </c>
      <c r="O646" s="34"/>
      <c r="P646" s="175">
        <v>10</v>
      </c>
      <c r="Q646" s="50" t="s">
        <v>26</v>
      </c>
      <c r="R646" s="51">
        <v>12.5</v>
      </c>
      <c r="S646" s="52">
        <f>Table4[[#This Row],[VALUE]]*Table4[[#This Row],[QTD]]</f>
        <v>125</v>
      </c>
    </row>
    <row r="647" spans="1:19" s="31" customFormat="1" ht="15" hidden="1" customHeight="1" x14ac:dyDescent="0.2">
      <c r="A647" s="60"/>
      <c r="B647" s="46">
        <v>45548</v>
      </c>
      <c r="C647" s="55">
        <v>45537</v>
      </c>
      <c r="D647" s="45" t="s">
        <v>285</v>
      </c>
      <c r="E647" s="45" t="s">
        <v>383</v>
      </c>
      <c r="F647" s="45"/>
      <c r="G647" s="45" t="s">
        <v>287</v>
      </c>
      <c r="H647" s="97" t="s">
        <v>288</v>
      </c>
      <c r="I647" s="45" t="s">
        <v>289</v>
      </c>
      <c r="J647" s="47" t="s">
        <v>550</v>
      </c>
      <c r="L647" s="45" t="s">
        <v>222</v>
      </c>
      <c r="M647" s="97">
        <v>7901</v>
      </c>
      <c r="N647" s="97">
        <v>371065</v>
      </c>
      <c r="O647" s="34"/>
      <c r="P647" s="175">
        <v>70</v>
      </c>
      <c r="Q647" s="50" t="s">
        <v>26</v>
      </c>
      <c r="R647" s="51">
        <v>7.2</v>
      </c>
      <c r="S647" s="52">
        <f>Table4[[#This Row],[VALUE]]*Table4[[#This Row],[QTD]]</f>
        <v>504</v>
      </c>
    </row>
    <row r="648" spans="1:19" s="31" customFormat="1" ht="15" hidden="1" customHeight="1" x14ac:dyDescent="0.2">
      <c r="A648" s="60"/>
      <c r="B648" s="46">
        <v>45548</v>
      </c>
      <c r="C648" s="55">
        <v>45538</v>
      </c>
      <c r="D648" s="45" t="s">
        <v>285</v>
      </c>
      <c r="E648" s="45" t="s">
        <v>383</v>
      </c>
      <c r="F648" s="45"/>
      <c r="G648" s="45" t="s">
        <v>287</v>
      </c>
      <c r="H648" s="97" t="s">
        <v>288</v>
      </c>
      <c r="I648" s="45" t="s">
        <v>289</v>
      </c>
      <c r="J648" s="47" t="s">
        <v>551</v>
      </c>
      <c r="L648" s="45" t="s">
        <v>222</v>
      </c>
      <c r="M648" s="97">
        <v>7901</v>
      </c>
      <c r="N648" s="97">
        <v>371065</v>
      </c>
      <c r="O648" s="34"/>
      <c r="P648" s="175">
        <v>6</v>
      </c>
      <c r="Q648" s="50" t="s">
        <v>26</v>
      </c>
      <c r="R648" s="51">
        <v>6.72</v>
      </c>
      <c r="S648" s="52">
        <f>Table4[[#This Row],[VALUE]]*Table4[[#This Row],[QTD]]</f>
        <v>40.32</v>
      </c>
    </row>
    <row r="649" spans="1:19" s="31" customFormat="1" ht="15" hidden="1" customHeight="1" x14ac:dyDescent="0.2">
      <c r="A649" s="60"/>
      <c r="B649" s="46">
        <v>45548</v>
      </c>
      <c r="C649" s="55">
        <v>45539</v>
      </c>
      <c r="D649" s="45" t="s">
        <v>285</v>
      </c>
      <c r="E649" s="45" t="s">
        <v>383</v>
      </c>
      <c r="F649" s="45"/>
      <c r="G649" s="45" t="s">
        <v>287</v>
      </c>
      <c r="H649" s="97" t="s">
        <v>288</v>
      </c>
      <c r="I649" s="45" t="s">
        <v>289</v>
      </c>
      <c r="J649" s="47" t="s">
        <v>552</v>
      </c>
      <c r="L649" s="45" t="s">
        <v>222</v>
      </c>
      <c r="M649" s="97">
        <v>7901</v>
      </c>
      <c r="N649" s="97">
        <v>371065</v>
      </c>
      <c r="O649" s="34"/>
      <c r="P649" s="175">
        <v>1</v>
      </c>
      <c r="Q649" s="50" t="s">
        <v>26</v>
      </c>
      <c r="R649" s="51">
        <v>11.5</v>
      </c>
      <c r="S649" s="52">
        <f>Table4[[#This Row],[VALUE]]*Table4[[#This Row],[QTD]]</f>
        <v>11.5</v>
      </c>
    </row>
    <row r="650" spans="1:19" s="31" customFormat="1" ht="15" hidden="1" customHeight="1" x14ac:dyDescent="0.2">
      <c r="A650" s="60"/>
      <c r="B650" s="46">
        <v>45548</v>
      </c>
      <c r="C650" s="55">
        <v>45540</v>
      </c>
      <c r="D650" s="45" t="s">
        <v>285</v>
      </c>
      <c r="E650" s="45" t="s">
        <v>383</v>
      </c>
      <c r="F650" s="45"/>
      <c r="G650" s="45" t="s">
        <v>287</v>
      </c>
      <c r="H650" s="97" t="s">
        <v>288</v>
      </c>
      <c r="I650" s="45" t="s">
        <v>289</v>
      </c>
      <c r="J650" s="47" t="s">
        <v>553</v>
      </c>
      <c r="L650" s="45" t="s">
        <v>222</v>
      </c>
      <c r="M650" s="97">
        <v>7901</v>
      </c>
      <c r="N650" s="97">
        <v>371065</v>
      </c>
      <c r="O650" s="34"/>
      <c r="P650" s="175">
        <v>2</v>
      </c>
      <c r="Q650" s="50" t="s">
        <v>26</v>
      </c>
      <c r="R650" s="51">
        <v>30</v>
      </c>
      <c r="S650" s="52">
        <f>Table4[[#This Row],[VALUE]]*Table4[[#This Row],[QTD]]</f>
        <v>60</v>
      </c>
    </row>
    <row r="651" spans="1:19" s="31" customFormat="1" ht="15" hidden="1" customHeight="1" x14ac:dyDescent="0.2">
      <c r="A651" s="60"/>
      <c r="B651" s="46">
        <v>45551</v>
      </c>
      <c r="C651" s="55">
        <v>45536</v>
      </c>
      <c r="D651" s="45" t="s">
        <v>285</v>
      </c>
      <c r="E651" s="45" t="s">
        <v>557</v>
      </c>
      <c r="F651" s="45"/>
      <c r="G651" s="45" t="s">
        <v>287</v>
      </c>
      <c r="H651" s="97" t="s">
        <v>288</v>
      </c>
      <c r="I651" s="45" t="s">
        <v>289</v>
      </c>
      <c r="J651" s="47" t="s">
        <v>556</v>
      </c>
      <c r="L651" s="45" t="s">
        <v>222</v>
      </c>
      <c r="M651" s="97">
        <v>7901</v>
      </c>
      <c r="N651" s="97">
        <v>375060</v>
      </c>
      <c r="O651" s="34"/>
      <c r="P651" s="175">
        <v>2</v>
      </c>
      <c r="Q651" s="50" t="s">
        <v>26</v>
      </c>
      <c r="R651" s="51">
        <v>130</v>
      </c>
      <c r="S651" s="52">
        <f>Table4[[#This Row],[VALUE]]*Table4[[#This Row],[QTD]]</f>
        <v>260</v>
      </c>
    </row>
    <row r="652" spans="1:19" s="31" customFormat="1" ht="15" hidden="1" customHeight="1" x14ac:dyDescent="0.2">
      <c r="A652" s="60"/>
      <c r="B652" s="46">
        <v>45551</v>
      </c>
      <c r="C652" s="55">
        <v>45536</v>
      </c>
      <c r="D652" s="45" t="s">
        <v>285</v>
      </c>
      <c r="E652" s="45" t="s">
        <v>557</v>
      </c>
      <c r="F652" s="45"/>
      <c r="G652" s="45" t="s">
        <v>287</v>
      </c>
      <c r="H652" s="97" t="s">
        <v>288</v>
      </c>
      <c r="I652" s="45" t="s">
        <v>289</v>
      </c>
      <c r="J652" s="47" t="s">
        <v>558</v>
      </c>
      <c r="L652" s="45" t="s">
        <v>222</v>
      </c>
      <c r="M652" s="97">
        <v>7901</v>
      </c>
      <c r="N652" s="97">
        <v>375060</v>
      </c>
      <c r="O652" s="34"/>
      <c r="P652" s="175">
        <v>2</v>
      </c>
      <c r="Q652" s="50" t="s">
        <v>26</v>
      </c>
      <c r="R652" s="51">
        <v>190</v>
      </c>
      <c r="S652" s="52">
        <f>Table4[[#This Row],[VALUE]]*Table4[[#This Row],[QTD]]</f>
        <v>380</v>
      </c>
    </row>
    <row r="653" spans="1:19" s="31" customFormat="1" ht="15" hidden="1" customHeight="1" x14ac:dyDescent="0.2">
      <c r="A653" s="60"/>
      <c r="B653" s="46">
        <v>45551</v>
      </c>
      <c r="C653" s="55">
        <v>45536</v>
      </c>
      <c r="D653" s="45" t="s">
        <v>285</v>
      </c>
      <c r="E653" s="45" t="s">
        <v>383</v>
      </c>
      <c r="F653" s="45"/>
      <c r="G653" s="45" t="s">
        <v>287</v>
      </c>
      <c r="H653" s="97" t="s">
        <v>288</v>
      </c>
      <c r="I653" s="45" t="s">
        <v>289</v>
      </c>
      <c r="J653" s="47" t="s">
        <v>560</v>
      </c>
      <c r="L653" s="45" t="s">
        <v>222</v>
      </c>
      <c r="M653" s="97">
        <v>7901</v>
      </c>
      <c r="N653" s="97">
        <v>371065</v>
      </c>
      <c r="O653" s="34"/>
      <c r="P653" s="175">
        <v>2</v>
      </c>
      <c r="Q653" s="50" t="s">
        <v>26</v>
      </c>
      <c r="R653" s="51">
        <v>278</v>
      </c>
      <c r="S653" s="52">
        <f>Table4[[#This Row],[VALUE]]*Table4[[#This Row],[QTD]]</f>
        <v>556</v>
      </c>
    </row>
    <row r="654" spans="1:19" s="31" customFormat="1" ht="15" hidden="1" customHeight="1" x14ac:dyDescent="0.2">
      <c r="A654" s="60"/>
      <c r="B654" s="46">
        <v>45551</v>
      </c>
      <c r="C654" s="55">
        <v>45536</v>
      </c>
      <c r="D654" s="45" t="s">
        <v>285</v>
      </c>
      <c r="E654" s="45" t="s">
        <v>383</v>
      </c>
      <c r="F654" s="45"/>
      <c r="G654" s="45" t="s">
        <v>287</v>
      </c>
      <c r="H654" s="97" t="s">
        <v>288</v>
      </c>
      <c r="I654" s="45" t="s">
        <v>289</v>
      </c>
      <c r="J654" s="47" t="s">
        <v>457</v>
      </c>
      <c r="L654" s="45" t="s">
        <v>222</v>
      </c>
      <c r="M654" s="97">
        <v>7901</v>
      </c>
      <c r="N654" s="97">
        <v>371065</v>
      </c>
      <c r="O654" s="34"/>
      <c r="P654" s="175">
        <v>3</v>
      </c>
      <c r="Q654" s="50" t="s">
        <v>26</v>
      </c>
      <c r="R654" s="51">
        <v>127</v>
      </c>
      <c r="S654" s="52">
        <f>Table4[[#This Row],[VALUE]]*Table4[[#This Row],[QTD]]</f>
        <v>381</v>
      </c>
    </row>
    <row r="655" spans="1:19" s="31" customFormat="1" ht="15" hidden="1" customHeight="1" x14ac:dyDescent="0.2">
      <c r="A655" s="60"/>
      <c r="B655" s="46">
        <v>45551</v>
      </c>
      <c r="C655" s="55">
        <v>45536</v>
      </c>
      <c r="D655" s="45" t="s">
        <v>285</v>
      </c>
      <c r="E655" s="45" t="s">
        <v>383</v>
      </c>
      <c r="F655" s="45"/>
      <c r="G655" s="45" t="s">
        <v>287</v>
      </c>
      <c r="H655" s="97" t="s">
        <v>288</v>
      </c>
      <c r="I655" s="45" t="s">
        <v>289</v>
      </c>
      <c r="J655" s="47" t="s">
        <v>555</v>
      </c>
      <c r="L655" s="45" t="s">
        <v>222</v>
      </c>
      <c r="M655" s="97">
        <v>7901</v>
      </c>
      <c r="N655" s="97">
        <v>371065</v>
      </c>
      <c r="O655" s="34"/>
      <c r="P655" s="175">
        <v>1</v>
      </c>
      <c r="Q655" s="50" t="s">
        <v>26</v>
      </c>
      <c r="R655" s="51">
        <v>325</v>
      </c>
      <c r="S655" s="52">
        <f>Table4[[#This Row],[VALUE]]*Table4[[#This Row],[QTD]]</f>
        <v>325</v>
      </c>
    </row>
    <row r="656" spans="1:19" s="31" customFormat="1" ht="15" hidden="1" customHeight="1" x14ac:dyDescent="0.2">
      <c r="A656" s="60"/>
      <c r="B656" s="46">
        <v>45551</v>
      </c>
      <c r="C656" s="55">
        <v>45536</v>
      </c>
      <c r="D656" s="45" t="s">
        <v>285</v>
      </c>
      <c r="E656" s="45" t="s">
        <v>383</v>
      </c>
      <c r="F656" s="45"/>
      <c r="G656" s="45" t="s">
        <v>287</v>
      </c>
      <c r="H656" s="97" t="s">
        <v>288</v>
      </c>
      <c r="I656" s="45" t="s">
        <v>289</v>
      </c>
      <c r="J656" s="47" t="s">
        <v>554</v>
      </c>
      <c r="L656" s="45" t="s">
        <v>222</v>
      </c>
      <c r="M656" s="97">
        <v>7901</v>
      </c>
      <c r="N656" s="97">
        <v>371065</v>
      </c>
      <c r="O656" s="34"/>
      <c r="P656" s="175">
        <v>2</v>
      </c>
      <c r="Q656" s="50" t="s">
        <v>26</v>
      </c>
      <c r="R656" s="51">
        <v>278</v>
      </c>
      <c r="S656" s="52">
        <f>Table4[[#This Row],[VALUE]]*Table4[[#This Row],[QTD]]</f>
        <v>556</v>
      </c>
    </row>
    <row r="657" spans="1:19" s="31" customFormat="1" ht="15" hidden="1" customHeight="1" x14ac:dyDescent="0.2">
      <c r="A657" s="60"/>
      <c r="B657" s="46">
        <v>45527</v>
      </c>
      <c r="C657" s="55">
        <v>45536</v>
      </c>
      <c r="D657" s="45" t="s">
        <v>285</v>
      </c>
      <c r="E657" s="45" t="s">
        <v>74</v>
      </c>
      <c r="F657" s="45"/>
      <c r="G657" s="45" t="s">
        <v>287</v>
      </c>
      <c r="H657" s="97" t="s">
        <v>288</v>
      </c>
      <c r="I657" s="45" t="s">
        <v>289</v>
      </c>
      <c r="J657" s="47" t="s">
        <v>446</v>
      </c>
      <c r="L657" s="45" t="s">
        <v>222</v>
      </c>
      <c r="M657" s="97">
        <v>7901</v>
      </c>
      <c r="N657" s="97">
        <v>371045</v>
      </c>
      <c r="O657" s="34"/>
      <c r="P657" s="175">
        <v>2</v>
      </c>
      <c r="Q657" s="50" t="s">
        <v>26</v>
      </c>
      <c r="R657" s="51">
        <v>14</v>
      </c>
      <c r="S657" s="52">
        <f>Table4[[#This Row],[VALUE]]*Table4[[#This Row],[QTD]]</f>
        <v>28</v>
      </c>
    </row>
    <row r="658" spans="1:19" s="31" customFormat="1" ht="15" hidden="1" customHeight="1" x14ac:dyDescent="0.2">
      <c r="A658" s="60"/>
      <c r="B658" s="46">
        <v>45527</v>
      </c>
      <c r="C658" s="55">
        <v>45536</v>
      </c>
      <c r="D658" s="45" t="s">
        <v>285</v>
      </c>
      <c r="E658" s="45" t="s">
        <v>74</v>
      </c>
      <c r="F658" s="45"/>
      <c r="G658" s="45" t="s">
        <v>287</v>
      </c>
      <c r="H658" s="97" t="s">
        <v>288</v>
      </c>
      <c r="I658" s="45" t="s">
        <v>289</v>
      </c>
      <c r="J658" s="47" t="s">
        <v>559</v>
      </c>
      <c r="L658" s="45" t="s">
        <v>222</v>
      </c>
      <c r="M658" s="97">
        <v>7901</v>
      </c>
      <c r="N658" s="97">
        <v>371045</v>
      </c>
      <c r="O658" s="34"/>
      <c r="P658" s="175">
        <v>4</v>
      </c>
      <c r="Q658" s="50" t="s">
        <v>26</v>
      </c>
      <c r="R658" s="51">
        <v>3.85</v>
      </c>
      <c r="S658" s="52">
        <f>Table4[[#This Row],[VALUE]]*Table4[[#This Row],[QTD]]</f>
        <v>15.4</v>
      </c>
    </row>
    <row r="659" spans="1:19" s="31" customFormat="1" ht="15" hidden="1" customHeight="1" x14ac:dyDescent="0.2">
      <c r="A659" s="60"/>
      <c r="B659" s="46">
        <v>45527</v>
      </c>
      <c r="C659" s="55">
        <v>45536</v>
      </c>
      <c r="D659" s="45" t="s">
        <v>285</v>
      </c>
      <c r="E659" s="45" t="s">
        <v>74</v>
      </c>
      <c r="F659" s="45"/>
      <c r="G659" s="45" t="s">
        <v>287</v>
      </c>
      <c r="H659" s="97" t="s">
        <v>288</v>
      </c>
      <c r="I659" s="45" t="s">
        <v>289</v>
      </c>
      <c r="J659" s="47" t="s">
        <v>561</v>
      </c>
      <c r="L659" s="45" t="s">
        <v>222</v>
      </c>
      <c r="M659" s="97">
        <v>7901</v>
      </c>
      <c r="N659" s="97">
        <v>371045</v>
      </c>
      <c r="O659" s="34"/>
      <c r="P659" s="175">
        <v>1</v>
      </c>
      <c r="Q659" s="50" t="s">
        <v>26</v>
      </c>
      <c r="R659" s="51">
        <v>14</v>
      </c>
      <c r="S659" s="52">
        <f>Table4[[#This Row],[VALUE]]*Table4[[#This Row],[QTD]]</f>
        <v>14</v>
      </c>
    </row>
    <row r="660" spans="1:19" s="31" customFormat="1" ht="15" hidden="1" customHeight="1" x14ac:dyDescent="0.2">
      <c r="A660" s="60"/>
      <c r="B660" s="46">
        <v>45582</v>
      </c>
      <c r="C660" s="55">
        <v>45566</v>
      </c>
      <c r="D660" s="47" t="s">
        <v>41</v>
      </c>
      <c r="E660" s="45" t="s">
        <v>74</v>
      </c>
      <c r="F660" s="45"/>
      <c r="G660" s="45" t="s">
        <v>75</v>
      </c>
      <c r="H660" s="97">
        <v>1000238</v>
      </c>
      <c r="I660" s="45" t="s">
        <v>42</v>
      </c>
      <c r="J660" s="47" t="s">
        <v>562</v>
      </c>
      <c r="L660" s="45" t="s">
        <v>222</v>
      </c>
      <c r="M660" s="97">
        <v>7901</v>
      </c>
      <c r="N660" s="97">
        <v>371045</v>
      </c>
      <c r="O660" s="34"/>
      <c r="P660" s="177">
        <v>1</v>
      </c>
      <c r="Q660" s="50" t="s">
        <v>26</v>
      </c>
      <c r="R660" s="51">
        <v>303.83</v>
      </c>
      <c r="S660" s="52">
        <f>Table4[[#This Row],[VALUE]]*Table4[[#This Row],[QTD]]</f>
        <v>303.83</v>
      </c>
    </row>
    <row r="661" spans="1:19" s="31" customFormat="1" ht="15" hidden="1" customHeight="1" x14ac:dyDescent="0.2">
      <c r="A661" s="60"/>
      <c r="B661" s="46">
        <v>45582</v>
      </c>
      <c r="C661" s="55">
        <v>45566</v>
      </c>
      <c r="D661" s="47" t="s">
        <v>27</v>
      </c>
      <c r="E661" s="45" t="s">
        <v>74</v>
      </c>
      <c r="F661" s="45"/>
      <c r="G661" s="45" t="s">
        <v>75</v>
      </c>
      <c r="H661" s="97">
        <v>1000287</v>
      </c>
      <c r="I661" s="45" t="s">
        <v>30</v>
      </c>
      <c r="J661" s="47" t="s">
        <v>563</v>
      </c>
      <c r="K661" s="79" t="s">
        <v>565</v>
      </c>
      <c r="L661" s="45" t="s">
        <v>564</v>
      </c>
      <c r="M661" s="97"/>
      <c r="N661" s="97">
        <v>371045</v>
      </c>
      <c r="O661" s="34"/>
      <c r="P661" s="177">
        <v>344</v>
      </c>
      <c r="Q661" s="50" t="s">
        <v>34</v>
      </c>
      <c r="R661" s="51">
        <v>12.28</v>
      </c>
      <c r="S661" s="52">
        <f>Table4[[#This Row],[VALUE]]*Table4[[#This Row],[QTD]]</f>
        <v>4224.32</v>
      </c>
    </row>
    <row r="662" spans="1:19" s="31" customFormat="1" ht="15" hidden="1" customHeight="1" x14ac:dyDescent="0.2">
      <c r="A662" s="60"/>
      <c r="B662" s="46">
        <v>45582</v>
      </c>
      <c r="C662" s="55">
        <v>45566</v>
      </c>
      <c r="D662" s="45" t="s">
        <v>41</v>
      </c>
      <c r="E662" s="45" t="s">
        <v>74</v>
      </c>
      <c r="F662" s="45"/>
      <c r="G662" s="45" t="s">
        <v>75</v>
      </c>
      <c r="H662" s="97">
        <v>1000238</v>
      </c>
      <c r="I662" s="45" t="s">
        <v>42</v>
      </c>
      <c r="J662" s="47" t="s">
        <v>562</v>
      </c>
      <c r="L662" s="45" t="s">
        <v>222</v>
      </c>
      <c r="M662" s="97">
        <v>7901</v>
      </c>
      <c r="N662" s="97">
        <v>371045</v>
      </c>
      <c r="O662" s="34"/>
      <c r="P662" s="177">
        <v>1</v>
      </c>
      <c r="Q662" s="50" t="s">
        <v>26</v>
      </c>
      <c r="R662" s="51">
        <v>263.38</v>
      </c>
      <c r="S662" s="52">
        <f>Table4[[#This Row],[VALUE]]*Table4[[#This Row],[QTD]]</f>
        <v>263.38</v>
      </c>
    </row>
    <row r="663" spans="1:19" s="31" customFormat="1" ht="15" hidden="1" customHeight="1" x14ac:dyDescent="0.2">
      <c r="A663" s="60"/>
      <c r="B663" s="46">
        <v>45582</v>
      </c>
      <c r="C663" s="55">
        <v>45566</v>
      </c>
      <c r="D663" s="45" t="s">
        <v>27</v>
      </c>
      <c r="E663" s="45" t="s">
        <v>74</v>
      </c>
      <c r="F663" s="45"/>
      <c r="G663" s="45" t="s">
        <v>75</v>
      </c>
      <c r="H663" s="97">
        <v>1000287</v>
      </c>
      <c r="I663" s="45" t="s">
        <v>30</v>
      </c>
      <c r="J663" s="47" t="s">
        <v>563</v>
      </c>
      <c r="L663" s="45" t="s">
        <v>564</v>
      </c>
      <c r="M663" s="97"/>
      <c r="N663" s="97">
        <v>371045</v>
      </c>
      <c r="O663" s="34">
        <v>336</v>
      </c>
      <c r="P663" s="177"/>
      <c r="Q663" s="49" t="s">
        <v>34</v>
      </c>
      <c r="R663" s="50">
        <v>12.28</v>
      </c>
      <c r="S663" s="52">
        <f>Table4[[#This Row],[VALUE]]*Table4[[#This Row],[QTD]]</f>
        <v>0</v>
      </c>
    </row>
    <row r="664" spans="1:19" s="98" customFormat="1" ht="15" hidden="1" customHeight="1" x14ac:dyDescent="0.2">
      <c r="A664" s="60"/>
      <c r="B664" s="44">
        <v>45566</v>
      </c>
      <c r="C664" s="55">
        <v>45566</v>
      </c>
      <c r="D664" s="45" t="s">
        <v>41</v>
      </c>
      <c r="E664" s="45" t="s">
        <v>52</v>
      </c>
      <c r="F664" s="45"/>
      <c r="G664" s="45" t="s">
        <v>75</v>
      </c>
      <c r="H664" s="97">
        <v>1000238</v>
      </c>
      <c r="I664" s="45" t="s">
        <v>42</v>
      </c>
      <c r="J664" s="47" t="s">
        <v>566</v>
      </c>
      <c r="K664" s="31"/>
      <c r="L664" s="45" t="s">
        <v>576</v>
      </c>
      <c r="M664" s="97">
        <v>7901</v>
      </c>
      <c r="N664" s="97">
        <v>371055</v>
      </c>
      <c r="O664" s="34"/>
      <c r="P664" s="177">
        <v>1</v>
      </c>
      <c r="Q664" s="50" t="s">
        <v>26</v>
      </c>
      <c r="R664" s="51">
        <v>1575.5</v>
      </c>
      <c r="S664" s="52">
        <f>Table4[[#This Row],[VALUE]]*Table4[[#This Row],[QTD]]</f>
        <v>1575.5</v>
      </c>
    </row>
    <row r="665" spans="1:19" s="98" customFormat="1" ht="15" hidden="1" customHeight="1" x14ac:dyDescent="0.2">
      <c r="A665" s="60"/>
      <c r="B665" s="44">
        <v>45566</v>
      </c>
      <c r="C665" s="55">
        <v>45566</v>
      </c>
      <c r="D665" s="45" t="s">
        <v>27</v>
      </c>
      <c r="E665" s="45" t="s">
        <v>52</v>
      </c>
      <c r="F665" s="45"/>
      <c r="G665" s="45" t="s">
        <v>75</v>
      </c>
      <c r="H665" s="97">
        <v>1000287</v>
      </c>
      <c r="I665" s="45" t="s">
        <v>30</v>
      </c>
      <c r="J665" s="47" t="s">
        <v>567</v>
      </c>
      <c r="K665" s="31">
        <v>7055</v>
      </c>
      <c r="L665" s="45" t="s">
        <v>579</v>
      </c>
      <c r="M665" s="48" t="s">
        <v>580</v>
      </c>
      <c r="N665" s="97">
        <v>371055</v>
      </c>
      <c r="O665" s="34"/>
      <c r="P665" s="177">
        <v>872</v>
      </c>
      <c r="Q665" s="50" t="s">
        <v>34</v>
      </c>
      <c r="R665" s="51">
        <v>12.28</v>
      </c>
      <c r="S665" s="52">
        <f>Table4[[#This Row],[VALUE]]*Table4[[#This Row],[QTD]]</f>
        <v>10708.16</v>
      </c>
    </row>
    <row r="666" spans="1:19" s="98" customFormat="1" ht="15" hidden="1" customHeight="1" x14ac:dyDescent="0.2">
      <c r="A666" s="60"/>
      <c r="B666" s="44">
        <v>45566</v>
      </c>
      <c r="C666" s="55">
        <v>45566</v>
      </c>
      <c r="D666" s="45" t="s">
        <v>41</v>
      </c>
      <c r="E666" s="45" t="s">
        <v>52</v>
      </c>
      <c r="F666" s="45"/>
      <c r="G666" s="45" t="s">
        <v>75</v>
      </c>
      <c r="H666" s="97">
        <v>1000238</v>
      </c>
      <c r="I666" s="45" t="s">
        <v>42</v>
      </c>
      <c r="J666" s="47" t="s">
        <v>566</v>
      </c>
      <c r="K666" s="31"/>
      <c r="L666" s="45" t="s">
        <v>576</v>
      </c>
      <c r="M666" s="97">
        <v>7901</v>
      </c>
      <c r="N666" s="97">
        <v>371055</v>
      </c>
      <c r="O666" s="34"/>
      <c r="P666" s="177">
        <v>1</v>
      </c>
      <c r="Q666" s="50" t="s">
        <v>26</v>
      </c>
      <c r="R666" s="51">
        <v>962.33</v>
      </c>
      <c r="S666" s="52">
        <f>Table4[[#This Row],[VALUE]]*Table4[[#This Row],[QTD]]</f>
        <v>962.33</v>
      </c>
    </row>
    <row r="667" spans="1:19" s="98" customFormat="1" ht="15" hidden="1" customHeight="1" x14ac:dyDescent="0.2">
      <c r="A667" s="60"/>
      <c r="B667" s="44">
        <v>45566</v>
      </c>
      <c r="C667" s="55">
        <v>45566</v>
      </c>
      <c r="D667" s="45" t="s">
        <v>27</v>
      </c>
      <c r="E667" s="45" t="s">
        <v>52</v>
      </c>
      <c r="F667" s="45"/>
      <c r="G667" s="45" t="s">
        <v>75</v>
      </c>
      <c r="H667" s="97">
        <v>1000287</v>
      </c>
      <c r="I667" s="45" t="s">
        <v>30</v>
      </c>
      <c r="J667" s="47" t="s">
        <v>567</v>
      </c>
      <c r="K667" s="31">
        <v>7055</v>
      </c>
      <c r="L667" s="45" t="s">
        <v>579</v>
      </c>
      <c r="M667" s="48" t="s">
        <v>580</v>
      </c>
      <c r="N667" s="97">
        <v>371055</v>
      </c>
      <c r="O667" s="34"/>
      <c r="P667" s="177">
        <v>959</v>
      </c>
      <c r="Q667" s="50" t="s">
        <v>34</v>
      </c>
      <c r="R667" s="51">
        <v>12.28</v>
      </c>
      <c r="S667" s="52">
        <f>Table4[[#This Row],[VALUE]]*Table4[[#This Row],[QTD]]</f>
        <v>11776.519999999999</v>
      </c>
    </row>
    <row r="668" spans="1:19" s="98" customFormat="1" ht="15" hidden="1" customHeight="1" x14ac:dyDescent="0.2">
      <c r="A668" s="60"/>
      <c r="B668" s="44">
        <v>45566</v>
      </c>
      <c r="C668" s="55">
        <v>45566</v>
      </c>
      <c r="D668" s="45" t="s">
        <v>41</v>
      </c>
      <c r="E668" s="45" t="s">
        <v>52</v>
      </c>
      <c r="F668" s="45"/>
      <c r="G668" s="45" t="s">
        <v>75</v>
      </c>
      <c r="H668" s="97">
        <v>1000238</v>
      </c>
      <c r="I668" s="45" t="s">
        <v>42</v>
      </c>
      <c r="J668" s="47" t="s">
        <v>566</v>
      </c>
      <c r="K668" s="31"/>
      <c r="L668" s="45" t="s">
        <v>576</v>
      </c>
      <c r="M668" s="97">
        <v>7901</v>
      </c>
      <c r="N668" s="97">
        <v>371055</v>
      </c>
      <c r="O668" s="34"/>
      <c r="P668" s="177">
        <v>1</v>
      </c>
      <c r="Q668" s="50" t="s">
        <v>26</v>
      </c>
      <c r="R668" s="51">
        <v>1191.5999999999999</v>
      </c>
      <c r="S668" s="52">
        <f>Table4[[#This Row],[VALUE]]*Table4[[#This Row],[QTD]]</f>
        <v>1191.5999999999999</v>
      </c>
    </row>
    <row r="669" spans="1:19" s="98" customFormat="1" ht="15" hidden="1" customHeight="1" x14ac:dyDescent="0.2">
      <c r="A669" s="60"/>
      <c r="B669" s="44">
        <v>45566</v>
      </c>
      <c r="C669" s="55">
        <v>45566</v>
      </c>
      <c r="D669" s="45" t="s">
        <v>27</v>
      </c>
      <c r="E669" s="45" t="s">
        <v>52</v>
      </c>
      <c r="F669" s="45"/>
      <c r="G669" s="45" t="s">
        <v>75</v>
      </c>
      <c r="H669" s="97">
        <v>1000287</v>
      </c>
      <c r="I669" s="45" t="s">
        <v>30</v>
      </c>
      <c r="J669" s="47" t="s">
        <v>567</v>
      </c>
      <c r="K669" s="31">
        <v>7055</v>
      </c>
      <c r="L669" s="45" t="s">
        <v>579</v>
      </c>
      <c r="M669" s="48" t="s">
        <v>580</v>
      </c>
      <c r="N669" s="97">
        <v>371055</v>
      </c>
      <c r="O669" s="34"/>
      <c r="P669" s="177">
        <v>958</v>
      </c>
      <c r="Q669" s="50" t="s">
        <v>34</v>
      </c>
      <c r="R669" s="51">
        <v>12.28</v>
      </c>
      <c r="S669" s="52">
        <f>Table4[[#This Row],[VALUE]]*Table4[[#This Row],[QTD]]</f>
        <v>11764.24</v>
      </c>
    </row>
    <row r="670" spans="1:19" s="98" customFormat="1" ht="15" hidden="1" customHeight="1" x14ac:dyDescent="0.2">
      <c r="A670" s="60"/>
      <c r="B670" s="44">
        <v>45573</v>
      </c>
      <c r="C670" s="55">
        <v>45566</v>
      </c>
      <c r="D670" s="45" t="s">
        <v>41</v>
      </c>
      <c r="E670" s="45" t="s">
        <v>74</v>
      </c>
      <c r="F670" s="45"/>
      <c r="G670" s="45" t="s">
        <v>75</v>
      </c>
      <c r="H670" s="97">
        <v>1000238</v>
      </c>
      <c r="I670" s="45" t="s">
        <v>42</v>
      </c>
      <c r="J670" s="47" t="s">
        <v>568</v>
      </c>
      <c r="K670" s="31"/>
      <c r="L670" s="45" t="s">
        <v>576</v>
      </c>
      <c r="M670" s="97">
        <v>7901</v>
      </c>
      <c r="N670" s="97">
        <v>371045</v>
      </c>
      <c r="O670" s="34"/>
      <c r="P670" s="177">
        <v>1</v>
      </c>
      <c r="Q670" s="50" t="s">
        <v>26</v>
      </c>
      <c r="R670" s="51">
        <v>948.61</v>
      </c>
      <c r="S670" s="52">
        <f>Table4[[#This Row],[VALUE]]*Table4[[#This Row],[QTD]]</f>
        <v>948.61</v>
      </c>
    </row>
    <row r="671" spans="1:19" s="98" customFormat="1" ht="15" hidden="1" customHeight="1" x14ac:dyDescent="0.2">
      <c r="A671" s="60"/>
      <c r="B671" s="44">
        <v>45573</v>
      </c>
      <c r="C671" s="55">
        <v>45566</v>
      </c>
      <c r="D671" s="45" t="s">
        <v>27</v>
      </c>
      <c r="E671" s="45" t="s">
        <v>74</v>
      </c>
      <c r="F671" s="45"/>
      <c r="G671" s="45" t="s">
        <v>75</v>
      </c>
      <c r="H671" s="97">
        <v>1000287</v>
      </c>
      <c r="I671" s="45" t="s">
        <v>30</v>
      </c>
      <c r="J671" s="47" t="s">
        <v>569</v>
      </c>
      <c r="K671" s="31">
        <v>7068</v>
      </c>
      <c r="L671" s="45" t="s">
        <v>249</v>
      </c>
      <c r="M671" s="48" t="s">
        <v>581</v>
      </c>
      <c r="N671" s="97">
        <v>371045</v>
      </c>
      <c r="O671" s="34"/>
      <c r="P671" s="177">
        <v>798</v>
      </c>
      <c r="Q671" s="50" t="s">
        <v>34</v>
      </c>
      <c r="R671" s="51">
        <v>12.28</v>
      </c>
      <c r="S671" s="52">
        <f>Table4[[#This Row],[VALUE]]*Table4[[#This Row],[QTD]]</f>
        <v>9799.4399999999987</v>
      </c>
    </row>
    <row r="672" spans="1:19" s="98" customFormat="1" ht="15" hidden="1" customHeight="1" x14ac:dyDescent="0.2">
      <c r="A672" s="60"/>
      <c r="B672" s="44">
        <v>45574</v>
      </c>
      <c r="C672" s="55">
        <v>45566</v>
      </c>
      <c r="D672" s="45" t="s">
        <v>41</v>
      </c>
      <c r="E672" s="45" t="s">
        <v>383</v>
      </c>
      <c r="F672" s="45"/>
      <c r="G672" s="45" t="s">
        <v>75</v>
      </c>
      <c r="H672" s="97">
        <v>1000238</v>
      </c>
      <c r="I672" s="45" t="s">
        <v>42</v>
      </c>
      <c r="J672" s="47" t="s">
        <v>570</v>
      </c>
      <c r="K672" s="31"/>
      <c r="L672" s="45" t="s">
        <v>576</v>
      </c>
      <c r="M672" s="97">
        <v>7901</v>
      </c>
      <c r="N672" s="97">
        <v>371065</v>
      </c>
      <c r="O672" s="34"/>
      <c r="P672" s="177">
        <v>1</v>
      </c>
      <c r="Q672" s="50" t="s">
        <v>26</v>
      </c>
      <c r="R672" s="51">
        <v>205.1</v>
      </c>
      <c r="S672" s="52">
        <f>Table4[[#This Row],[VALUE]]*Table4[[#This Row],[QTD]]</f>
        <v>205.1</v>
      </c>
    </row>
    <row r="673" spans="1:19" s="98" customFormat="1" ht="15" hidden="1" customHeight="1" x14ac:dyDescent="0.2">
      <c r="A673" s="60"/>
      <c r="B673" s="44">
        <v>45574</v>
      </c>
      <c r="C673" s="55">
        <v>45566</v>
      </c>
      <c r="D673" s="45" t="s">
        <v>27</v>
      </c>
      <c r="E673" s="45" t="s">
        <v>383</v>
      </c>
      <c r="F673" s="45"/>
      <c r="G673" s="45" t="s">
        <v>75</v>
      </c>
      <c r="H673" s="97">
        <v>1000287</v>
      </c>
      <c r="I673" s="45" t="s">
        <v>30</v>
      </c>
      <c r="J673" s="47" t="s">
        <v>571</v>
      </c>
      <c r="K673" s="31"/>
      <c r="L673" s="45" t="s">
        <v>576</v>
      </c>
      <c r="M673" s="97">
        <v>7901</v>
      </c>
      <c r="N673" s="97">
        <v>371065</v>
      </c>
      <c r="O673" s="34"/>
      <c r="P673" s="177">
        <v>250</v>
      </c>
      <c r="Q673" s="50" t="s">
        <v>34</v>
      </c>
      <c r="R673" s="51">
        <v>12.28</v>
      </c>
      <c r="S673" s="52">
        <f>Table4[[#This Row],[VALUE]]*Table4[[#This Row],[QTD]]</f>
        <v>3070</v>
      </c>
    </row>
    <row r="674" spans="1:19" s="98" customFormat="1" ht="15" hidden="1" customHeight="1" x14ac:dyDescent="0.2">
      <c r="A674" s="60"/>
      <c r="B674" s="44">
        <v>45574</v>
      </c>
      <c r="C674" s="55">
        <v>45566</v>
      </c>
      <c r="D674" s="45" t="s">
        <v>41</v>
      </c>
      <c r="E674" s="45" t="s">
        <v>383</v>
      </c>
      <c r="F674" s="45"/>
      <c r="G674" s="45" t="s">
        <v>75</v>
      </c>
      <c r="H674" s="97">
        <v>1000238</v>
      </c>
      <c r="I674" s="45" t="s">
        <v>42</v>
      </c>
      <c r="J674" s="47" t="s">
        <v>572</v>
      </c>
      <c r="K674" s="31"/>
      <c r="L674" s="45" t="s">
        <v>576</v>
      </c>
      <c r="M674" s="97">
        <v>7901</v>
      </c>
      <c r="N674" s="97">
        <v>371065</v>
      </c>
      <c r="O674" s="34"/>
      <c r="P674" s="177">
        <v>1</v>
      </c>
      <c r="Q674" s="50" t="s">
        <v>26</v>
      </c>
      <c r="R674" s="51">
        <v>118.9</v>
      </c>
      <c r="S674" s="52">
        <f>Table4[[#This Row],[VALUE]]*Table4[[#This Row],[QTD]]</f>
        <v>118.9</v>
      </c>
    </row>
    <row r="675" spans="1:19" s="98" customFormat="1" ht="15" hidden="1" customHeight="1" x14ac:dyDescent="0.2">
      <c r="A675" s="60"/>
      <c r="B675" s="44">
        <v>45574</v>
      </c>
      <c r="C675" s="55">
        <v>45566</v>
      </c>
      <c r="D675" s="45" t="s">
        <v>27</v>
      </c>
      <c r="E675" s="45" t="s">
        <v>383</v>
      </c>
      <c r="F675" s="45"/>
      <c r="G675" s="45" t="s">
        <v>75</v>
      </c>
      <c r="H675" s="97">
        <v>1000287</v>
      </c>
      <c r="I675" s="45" t="s">
        <v>30</v>
      </c>
      <c r="J675" s="47" t="s">
        <v>573</v>
      </c>
      <c r="K675" s="31">
        <v>7002</v>
      </c>
      <c r="L675" s="45" t="s">
        <v>164</v>
      </c>
      <c r="M675" s="48" t="s">
        <v>578</v>
      </c>
      <c r="N675" s="97">
        <v>371065</v>
      </c>
      <c r="O675" s="34"/>
      <c r="P675" s="177">
        <v>250</v>
      </c>
      <c r="Q675" s="50" t="s">
        <v>34</v>
      </c>
      <c r="R675" s="51">
        <v>12.28</v>
      </c>
      <c r="S675" s="52">
        <f>Table4[[#This Row],[VALUE]]*Table4[[#This Row],[QTD]]</f>
        <v>3070</v>
      </c>
    </row>
    <row r="676" spans="1:19" s="98" customFormat="1" ht="15" hidden="1" customHeight="1" x14ac:dyDescent="0.2">
      <c r="A676" s="60"/>
      <c r="B676" s="44">
        <v>45576</v>
      </c>
      <c r="C676" s="55">
        <v>45566</v>
      </c>
      <c r="D676" s="45" t="s">
        <v>41</v>
      </c>
      <c r="E676" s="45" t="s">
        <v>52</v>
      </c>
      <c r="F676" s="45"/>
      <c r="G676" s="45" t="s">
        <v>75</v>
      </c>
      <c r="H676" s="97">
        <v>1000238</v>
      </c>
      <c r="I676" s="45" t="s">
        <v>42</v>
      </c>
      <c r="J676" s="47" t="s">
        <v>574</v>
      </c>
      <c r="K676" s="31"/>
      <c r="L676" s="45" t="s">
        <v>576</v>
      </c>
      <c r="M676" s="97">
        <v>7901</v>
      </c>
      <c r="N676" s="97">
        <v>371055</v>
      </c>
      <c r="O676" s="34"/>
      <c r="P676" s="177">
        <v>1</v>
      </c>
      <c r="Q676" s="50" t="s">
        <v>26</v>
      </c>
      <c r="R676" s="51">
        <v>805.2</v>
      </c>
      <c r="S676" s="52">
        <f>Table4[[#This Row],[VALUE]]*Table4[[#This Row],[QTD]]</f>
        <v>805.2</v>
      </c>
    </row>
    <row r="677" spans="1:19" s="98" customFormat="1" ht="15" hidden="1" customHeight="1" x14ac:dyDescent="0.2">
      <c r="A677" s="60"/>
      <c r="B677" s="44">
        <v>45576</v>
      </c>
      <c r="C677" s="55">
        <v>45566</v>
      </c>
      <c r="D677" s="45" t="s">
        <v>27</v>
      </c>
      <c r="E677" s="45" t="s">
        <v>52</v>
      </c>
      <c r="F677" s="45"/>
      <c r="G677" s="45" t="s">
        <v>75</v>
      </c>
      <c r="H677" s="97">
        <v>1000287</v>
      </c>
      <c r="I677" s="45" t="s">
        <v>30</v>
      </c>
      <c r="J677" s="47" t="s">
        <v>575</v>
      </c>
      <c r="K677" s="31">
        <v>7035</v>
      </c>
      <c r="L677" s="45" t="s">
        <v>339</v>
      </c>
      <c r="M677" s="31" t="s">
        <v>577</v>
      </c>
      <c r="N677" s="97">
        <v>371055</v>
      </c>
      <c r="O677" s="34"/>
      <c r="P677" s="97">
        <v>500</v>
      </c>
      <c r="Q677" s="50" t="s">
        <v>34</v>
      </c>
      <c r="R677" s="51">
        <v>12.28</v>
      </c>
      <c r="S677" s="52">
        <f>Table4[[#This Row],[VALUE]]*Table4[[#This Row],[QTD]]</f>
        <v>6140</v>
      </c>
    </row>
    <row r="678" spans="1:19" s="98" customFormat="1" ht="15" hidden="1" customHeight="1" x14ac:dyDescent="0.2">
      <c r="A678" s="60"/>
      <c r="B678" s="44">
        <v>45576</v>
      </c>
      <c r="C678" s="55">
        <v>45566</v>
      </c>
      <c r="D678" s="45" t="s">
        <v>41</v>
      </c>
      <c r="E678" s="45" t="s">
        <v>52</v>
      </c>
      <c r="F678" s="45"/>
      <c r="G678" s="45" t="s">
        <v>75</v>
      </c>
      <c r="H678" s="97">
        <v>1000238</v>
      </c>
      <c r="I678" s="45" t="s">
        <v>42</v>
      </c>
      <c r="J678" s="47" t="s">
        <v>574</v>
      </c>
      <c r="K678" s="31"/>
      <c r="L678" s="45" t="s">
        <v>576</v>
      </c>
      <c r="M678" s="97">
        <v>7901</v>
      </c>
      <c r="N678" s="97">
        <v>371055</v>
      </c>
      <c r="O678" s="34"/>
      <c r="P678" s="97">
        <v>1</v>
      </c>
      <c r="Q678" s="50" t="s">
        <v>26</v>
      </c>
      <c r="R678" s="51">
        <v>603.9</v>
      </c>
      <c r="S678" s="52">
        <f>Table4[[#This Row],[VALUE]]*Table4[[#This Row],[QTD]]</f>
        <v>603.9</v>
      </c>
    </row>
    <row r="679" spans="1:19" s="98" customFormat="1" ht="15" hidden="1" customHeight="1" x14ac:dyDescent="0.2">
      <c r="A679" s="60"/>
      <c r="B679" s="44">
        <v>45576</v>
      </c>
      <c r="C679" s="55">
        <v>45566</v>
      </c>
      <c r="D679" s="45" t="s">
        <v>27</v>
      </c>
      <c r="E679" s="45" t="s">
        <v>52</v>
      </c>
      <c r="F679" s="45"/>
      <c r="G679" s="45" t="s">
        <v>75</v>
      </c>
      <c r="H679" s="97">
        <v>1000287</v>
      </c>
      <c r="I679" s="45" t="s">
        <v>30</v>
      </c>
      <c r="J679" s="47" t="s">
        <v>575</v>
      </c>
      <c r="K679" s="31">
        <v>7035</v>
      </c>
      <c r="L679" s="45" t="s">
        <v>339</v>
      </c>
      <c r="M679" s="31" t="s">
        <v>577</v>
      </c>
      <c r="N679" s="97">
        <v>371055</v>
      </c>
      <c r="O679" s="34"/>
      <c r="P679" s="97">
        <v>505</v>
      </c>
      <c r="Q679" s="50" t="s">
        <v>34</v>
      </c>
      <c r="R679" s="51">
        <v>12.28</v>
      </c>
      <c r="S679" s="52">
        <f>Table4[[#This Row],[VALUE]]*Table4[[#This Row],[QTD]]</f>
        <v>6201.4</v>
      </c>
    </row>
    <row r="680" spans="1:19" s="102" customFormat="1" ht="15" hidden="1" customHeight="1" x14ac:dyDescent="0.2">
      <c r="A680" s="60"/>
      <c r="B680" s="44">
        <v>45554</v>
      </c>
      <c r="C680" s="55">
        <v>45536</v>
      </c>
      <c r="D680" s="45" t="s">
        <v>41</v>
      </c>
      <c r="E680" s="45" t="s">
        <v>52</v>
      </c>
      <c r="F680" s="45"/>
      <c r="G680" s="45" t="s">
        <v>29</v>
      </c>
      <c r="H680" s="97">
        <v>1000238</v>
      </c>
      <c r="I680" s="45" t="s">
        <v>42</v>
      </c>
      <c r="J680" s="100" t="s">
        <v>582</v>
      </c>
      <c r="K680" s="31"/>
      <c r="L680" s="45" t="s">
        <v>576</v>
      </c>
      <c r="M680" s="97">
        <v>7901</v>
      </c>
      <c r="N680" s="97">
        <v>371055</v>
      </c>
      <c r="O680" s="34"/>
      <c r="P680" s="97">
        <v>1</v>
      </c>
      <c r="Q680" s="50" t="s">
        <v>26</v>
      </c>
      <c r="R680" s="51">
        <v>616.6</v>
      </c>
      <c r="S680" s="52">
        <f>Table4[[#This Row],[VALUE]]*Table4[[#This Row],[QTD]]</f>
        <v>616.6</v>
      </c>
    </row>
    <row r="681" spans="1:19" s="102" customFormat="1" ht="15" hidden="1" customHeight="1" x14ac:dyDescent="0.2">
      <c r="A681" s="60"/>
      <c r="B681" s="44">
        <v>45554</v>
      </c>
      <c r="C681" s="55">
        <v>45536</v>
      </c>
      <c r="D681" s="45" t="s">
        <v>27</v>
      </c>
      <c r="E681" s="45" t="s">
        <v>52</v>
      </c>
      <c r="F681" s="45"/>
      <c r="G681" s="45" t="s">
        <v>29</v>
      </c>
      <c r="H681" s="97">
        <v>1000287</v>
      </c>
      <c r="I681" s="45" t="s">
        <v>30</v>
      </c>
      <c r="J681" s="100" t="s">
        <v>582</v>
      </c>
      <c r="K681" s="31"/>
      <c r="L681" s="45" t="s">
        <v>576</v>
      </c>
      <c r="M681" s="97">
        <v>7901</v>
      </c>
      <c r="N681" s="97">
        <v>371055</v>
      </c>
      <c r="O681" s="34"/>
      <c r="P681" s="97">
        <v>426</v>
      </c>
      <c r="Q681" s="50" t="s">
        <v>34</v>
      </c>
      <c r="R681" s="51">
        <v>13.69</v>
      </c>
      <c r="S681" s="52">
        <f>Table4[[#This Row],[VALUE]]*Table4[[#This Row],[QTD]]</f>
        <v>5831.94</v>
      </c>
    </row>
    <row r="682" spans="1:19" s="102" customFormat="1" ht="15" hidden="1" customHeight="1" x14ac:dyDescent="0.2">
      <c r="A682" s="60"/>
      <c r="B682" s="44">
        <v>45555</v>
      </c>
      <c r="C682" s="55">
        <v>45566</v>
      </c>
      <c r="D682" s="45" t="s">
        <v>41</v>
      </c>
      <c r="E682" s="45" t="s">
        <v>464</v>
      </c>
      <c r="F682" s="45"/>
      <c r="G682" s="45" t="s">
        <v>29</v>
      </c>
      <c r="H682" s="97">
        <v>1000238</v>
      </c>
      <c r="I682" s="45" t="s">
        <v>42</v>
      </c>
      <c r="J682" s="47" t="s">
        <v>583</v>
      </c>
      <c r="K682" s="31"/>
      <c r="L682" s="45" t="s">
        <v>576</v>
      </c>
      <c r="M682" s="97">
        <v>7901</v>
      </c>
      <c r="N682" s="97">
        <v>375030</v>
      </c>
      <c r="O682" s="34"/>
      <c r="P682" s="97">
        <v>1</v>
      </c>
      <c r="Q682" s="50" t="s">
        <v>26</v>
      </c>
      <c r="R682" s="51">
        <v>516.6</v>
      </c>
      <c r="S682" s="52">
        <f>Table4[[#This Row],[VALUE]]*Table4[[#This Row],[QTD]]</f>
        <v>516.6</v>
      </c>
    </row>
    <row r="683" spans="1:19" s="102" customFormat="1" ht="15" hidden="1" customHeight="1" x14ac:dyDescent="0.2">
      <c r="A683" s="60"/>
      <c r="B683" s="44">
        <v>45555</v>
      </c>
      <c r="C683" s="55">
        <v>45566</v>
      </c>
      <c r="D683" s="45" t="s">
        <v>27</v>
      </c>
      <c r="E683" s="45" t="s">
        <v>464</v>
      </c>
      <c r="F683" s="45"/>
      <c r="G683" s="45" t="s">
        <v>29</v>
      </c>
      <c r="H683" s="97">
        <v>1000287</v>
      </c>
      <c r="I683" s="45" t="s">
        <v>30</v>
      </c>
      <c r="J683" s="47" t="s">
        <v>584</v>
      </c>
      <c r="K683" s="31">
        <v>7067</v>
      </c>
      <c r="L683" s="45" t="s">
        <v>546</v>
      </c>
      <c r="M683" s="79" t="s">
        <v>68</v>
      </c>
      <c r="N683" s="97">
        <v>375030</v>
      </c>
      <c r="O683" s="34"/>
      <c r="P683" s="97">
        <v>567.79999999999995</v>
      </c>
      <c r="Q683" s="50" t="s">
        <v>34</v>
      </c>
      <c r="R683" s="51">
        <v>13.69</v>
      </c>
      <c r="S683" s="52">
        <f>Table4[[#This Row],[VALUE]]*Table4[[#This Row],[QTD]]</f>
        <v>7773.1819999999989</v>
      </c>
    </row>
    <row r="684" spans="1:19" s="102" customFormat="1" ht="15" hidden="1" customHeight="1" x14ac:dyDescent="0.2">
      <c r="A684" s="60"/>
      <c r="B684" s="44">
        <v>45555</v>
      </c>
      <c r="C684" s="55">
        <v>45536</v>
      </c>
      <c r="D684" s="45" t="s">
        <v>27</v>
      </c>
      <c r="E684" s="45" t="s">
        <v>464</v>
      </c>
      <c r="F684" s="45"/>
      <c r="G684" s="45" t="s">
        <v>29</v>
      </c>
      <c r="H684" s="97">
        <v>1000287</v>
      </c>
      <c r="I684" s="107" t="s">
        <v>30</v>
      </c>
      <c r="J684" s="112" t="s">
        <v>585</v>
      </c>
      <c r="K684" s="108"/>
      <c r="L684" s="107" t="s">
        <v>576</v>
      </c>
      <c r="M684" s="31">
        <v>7901</v>
      </c>
      <c r="N684" s="97">
        <v>375030</v>
      </c>
      <c r="O684" s="34"/>
      <c r="P684" s="97">
        <v>500</v>
      </c>
      <c r="Q684" s="50" t="s">
        <v>34</v>
      </c>
      <c r="R684" s="51">
        <v>13.69</v>
      </c>
      <c r="S684" s="52">
        <f>Table4[[#This Row],[VALUE]]*Table4[[#This Row],[QTD]]</f>
        <v>6845</v>
      </c>
    </row>
    <row r="685" spans="1:19" s="102" customFormat="1" ht="15" hidden="1" customHeight="1" x14ac:dyDescent="0.2">
      <c r="A685" s="113"/>
      <c r="B685" s="114"/>
      <c r="C685" s="190">
        <v>45689</v>
      </c>
      <c r="D685" s="191" t="s">
        <v>285</v>
      </c>
      <c r="E685" s="191" t="s">
        <v>74</v>
      </c>
      <c r="F685" s="191" t="s">
        <v>600</v>
      </c>
      <c r="G685" s="191" t="s">
        <v>287</v>
      </c>
      <c r="H685" s="192" t="s">
        <v>288</v>
      </c>
      <c r="I685" s="191" t="s">
        <v>289</v>
      </c>
      <c r="J685" s="191" t="s">
        <v>586</v>
      </c>
      <c r="K685" s="104"/>
      <c r="L685" s="191" t="s">
        <v>222</v>
      </c>
      <c r="M685" s="192">
        <v>7901</v>
      </c>
      <c r="N685" s="192">
        <v>371011</v>
      </c>
      <c r="O685" s="105"/>
      <c r="P685" s="192">
        <v>15</v>
      </c>
      <c r="Q685" s="193" t="s">
        <v>26</v>
      </c>
      <c r="R685" s="194">
        <v>28.6</v>
      </c>
      <c r="S685" s="195">
        <f>Table4[[#This Row],[VALUE]]*Table4[[#This Row],[QTD]]</f>
        <v>429</v>
      </c>
    </row>
    <row r="686" spans="1:19" s="102" customFormat="1" ht="15" hidden="1" customHeight="1" x14ac:dyDescent="0.2">
      <c r="A686" s="115"/>
      <c r="B686" s="116"/>
      <c r="C686" s="196">
        <v>45689</v>
      </c>
      <c r="D686" s="107" t="s">
        <v>285</v>
      </c>
      <c r="E686" s="107" t="s">
        <v>74</v>
      </c>
      <c r="F686" s="107" t="s">
        <v>600</v>
      </c>
      <c r="G686" s="107" t="s">
        <v>287</v>
      </c>
      <c r="H686" s="96" t="s">
        <v>288</v>
      </c>
      <c r="I686" s="107" t="s">
        <v>289</v>
      </c>
      <c r="J686" s="107" t="s">
        <v>587</v>
      </c>
      <c r="K686" s="108"/>
      <c r="L686" s="107" t="s">
        <v>222</v>
      </c>
      <c r="M686" s="96">
        <v>7901</v>
      </c>
      <c r="N686" s="96">
        <v>371011</v>
      </c>
      <c r="O686" s="84"/>
      <c r="P686" s="96">
        <v>40</v>
      </c>
      <c r="Q686" s="197" t="s">
        <v>26</v>
      </c>
      <c r="R686" s="198">
        <v>39</v>
      </c>
      <c r="S686" s="199">
        <f>Table4[[#This Row],[VALUE]]*Table4[[#This Row],[QTD]]</f>
        <v>1560</v>
      </c>
    </row>
    <row r="687" spans="1:19" s="102" customFormat="1" ht="15" hidden="1" customHeight="1" x14ac:dyDescent="0.2">
      <c r="A687" s="117"/>
      <c r="B687" s="118"/>
      <c r="C687" s="200">
        <v>45689</v>
      </c>
      <c r="D687" s="201" t="s">
        <v>285</v>
      </c>
      <c r="E687" s="201" t="s">
        <v>74</v>
      </c>
      <c r="F687" s="201" t="s">
        <v>600</v>
      </c>
      <c r="G687" s="201" t="s">
        <v>287</v>
      </c>
      <c r="H687" s="109" t="s">
        <v>288</v>
      </c>
      <c r="I687" s="201" t="s">
        <v>289</v>
      </c>
      <c r="J687" s="201" t="s">
        <v>588</v>
      </c>
      <c r="K687" s="110"/>
      <c r="L687" s="201" t="s">
        <v>222</v>
      </c>
      <c r="M687" s="109">
        <v>7901</v>
      </c>
      <c r="N687" s="109">
        <v>371011</v>
      </c>
      <c r="O687" s="111"/>
      <c r="P687" s="109">
        <v>3</v>
      </c>
      <c r="Q687" s="202" t="s">
        <v>26</v>
      </c>
      <c r="R687" s="203">
        <v>32.4</v>
      </c>
      <c r="S687" s="204">
        <f>Table4[[#This Row],[VALUE]]*Table4[[#This Row],[QTD]]</f>
        <v>97.199999999999989</v>
      </c>
    </row>
    <row r="688" spans="1:19" s="102" customFormat="1" ht="15" hidden="1" customHeight="1" x14ac:dyDescent="0.2">
      <c r="A688" s="60"/>
      <c r="B688" s="106"/>
      <c r="C688" s="196">
        <v>45689</v>
      </c>
      <c r="D688" s="107" t="s">
        <v>285</v>
      </c>
      <c r="E688" s="107" t="s">
        <v>592</v>
      </c>
      <c r="F688" s="107" t="s">
        <v>593</v>
      </c>
      <c r="G688" s="107" t="s">
        <v>287</v>
      </c>
      <c r="H688" s="96" t="s">
        <v>288</v>
      </c>
      <c r="I688" s="107" t="s">
        <v>289</v>
      </c>
      <c r="J688" s="112" t="s">
        <v>461</v>
      </c>
      <c r="K688" s="108"/>
      <c r="L688" s="107" t="s">
        <v>222</v>
      </c>
      <c r="M688" s="96">
        <v>7901</v>
      </c>
      <c r="N688" s="96">
        <v>371011</v>
      </c>
      <c r="O688" s="84"/>
      <c r="P688" s="96">
        <v>6</v>
      </c>
      <c r="Q688" s="197" t="s">
        <v>26</v>
      </c>
      <c r="R688" s="198">
        <v>278</v>
      </c>
      <c r="S688" s="199">
        <f>Table4[[#This Row],[VALUE]]*Table4[[#This Row],[QTD]]</f>
        <v>1668</v>
      </c>
    </row>
    <row r="689" spans="1:19" s="102" customFormat="1" ht="15" hidden="1" customHeight="1" x14ac:dyDescent="0.2">
      <c r="A689" s="60"/>
      <c r="B689" s="106"/>
      <c r="C689" s="196">
        <v>45689</v>
      </c>
      <c r="D689" s="107" t="s">
        <v>285</v>
      </c>
      <c r="E689" s="107" t="s">
        <v>592</v>
      </c>
      <c r="F689" s="107" t="s">
        <v>593</v>
      </c>
      <c r="G689" s="107" t="s">
        <v>287</v>
      </c>
      <c r="H689" s="96" t="s">
        <v>288</v>
      </c>
      <c r="I689" s="107" t="s">
        <v>289</v>
      </c>
      <c r="J689" s="112" t="s">
        <v>589</v>
      </c>
      <c r="K689" s="108"/>
      <c r="L689" s="107" t="s">
        <v>222</v>
      </c>
      <c r="M689" s="96">
        <v>7901</v>
      </c>
      <c r="N689" s="96">
        <v>371011</v>
      </c>
      <c r="O689" s="84"/>
      <c r="P689" s="96">
        <v>4</v>
      </c>
      <c r="Q689" s="197" t="s">
        <v>26</v>
      </c>
      <c r="R689" s="198">
        <v>85</v>
      </c>
      <c r="S689" s="199">
        <f>Table4[[#This Row],[VALUE]]*Table4[[#This Row],[QTD]]</f>
        <v>340</v>
      </c>
    </row>
    <row r="690" spans="1:19" s="102" customFormat="1" ht="15" hidden="1" customHeight="1" x14ac:dyDescent="0.2">
      <c r="A690" s="60"/>
      <c r="B690" s="106"/>
      <c r="C690" s="196">
        <v>45689</v>
      </c>
      <c r="D690" s="107" t="s">
        <v>285</v>
      </c>
      <c r="E690" s="107" t="s">
        <v>592</v>
      </c>
      <c r="F690" s="107" t="s">
        <v>593</v>
      </c>
      <c r="G690" s="107" t="s">
        <v>287</v>
      </c>
      <c r="H690" s="96" t="s">
        <v>288</v>
      </c>
      <c r="I690" s="107" t="s">
        <v>289</v>
      </c>
      <c r="J690" s="112" t="s">
        <v>590</v>
      </c>
      <c r="K690" s="108"/>
      <c r="L690" s="107" t="s">
        <v>222</v>
      </c>
      <c r="M690" s="96">
        <v>7901</v>
      </c>
      <c r="N690" s="96">
        <v>371011</v>
      </c>
      <c r="O690" s="84"/>
      <c r="P690" s="96">
        <v>8</v>
      </c>
      <c r="Q690" s="197" t="s">
        <v>26</v>
      </c>
      <c r="R690" s="198">
        <v>278</v>
      </c>
      <c r="S690" s="199">
        <f>Table4[[#This Row],[VALUE]]*Table4[[#This Row],[QTD]]</f>
        <v>2224</v>
      </c>
    </row>
    <row r="691" spans="1:19" s="102" customFormat="1" ht="15" hidden="1" customHeight="1" x14ac:dyDescent="0.2">
      <c r="A691" s="60"/>
      <c r="B691" s="106"/>
      <c r="C691" s="196">
        <v>45689</v>
      </c>
      <c r="D691" s="107" t="s">
        <v>285</v>
      </c>
      <c r="E691" s="107" t="s">
        <v>592</v>
      </c>
      <c r="F691" s="107" t="s">
        <v>593</v>
      </c>
      <c r="G691" s="107" t="s">
        <v>287</v>
      </c>
      <c r="H691" s="96" t="s">
        <v>288</v>
      </c>
      <c r="I691" s="107" t="s">
        <v>289</v>
      </c>
      <c r="J691" s="112" t="s">
        <v>591</v>
      </c>
      <c r="K691" s="108"/>
      <c r="L691" s="107" t="s">
        <v>222</v>
      </c>
      <c r="M691" s="96">
        <v>7901</v>
      </c>
      <c r="N691" s="96">
        <v>371011</v>
      </c>
      <c r="O691" s="84"/>
      <c r="P691" s="96">
        <v>21</v>
      </c>
      <c r="Q691" s="197" t="s">
        <v>26</v>
      </c>
      <c r="R691" s="198">
        <v>172</v>
      </c>
      <c r="S691" s="199">
        <f>Table4[[#This Row],[VALUE]]*Table4[[#This Row],[QTD]]</f>
        <v>3612</v>
      </c>
    </row>
    <row r="692" spans="1:19" s="102" customFormat="1" ht="15" hidden="1" customHeight="1" x14ac:dyDescent="0.2">
      <c r="A692" s="119"/>
      <c r="B692" s="120"/>
      <c r="C692" s="205">
        <v>45689</v>
      </c>
      <c r="D692" s="206" t="s">
        <v>285</v>
      </c>
      <c r="E692" s="206" t="s">
        <v>464</v>
      </c>
      <c r="F692" s="206" t="s">
        <v>593</v>
      </c>
      <c r="G692" s="206" t="s">
        <v>287</v>
      </c>
      <c r="H692" s="207" t="s">
        <v>288</v>
      </c>
      <c r="I692" s="206" t="s">
        <v>289</v>
      </c>
      <c r="J692" s="208" t="s">
        <v>594</v>
      </c>
      <c r="K692" s="121"/>
      <c r="L692" s="206" t="s">
        <v>222</v>
      </c>
      <c r="M692" s="207">
        <v>7901</v>
      </c>
      <c r="N692" s="207">
        <v>371011</v>
      </c>
      <c r="O692" s="122"/>
      <c r="P692" s="207">
        <v>12</v>
      </c>
      <c r="Q692" s="209" t="s">
        <v>26</v>
      </c>
      <c r="R692" s="210">
        <v>79</v>
      </c>
      <c r="S692" s="211">
        <f>Table4[[#This Row],[VALUE]]*Table4[[#This Row],[QTD]]</f>
        <v>948</v>
      </c>
    </row>
    <row r="693" spans="1:19" s="102" customFormat="1" ht="15" hidden="1" customHeight="1" x14ac:dyDescent="0.2">
      <c r="A693" s="60"/>
      <c r="B693" s="106"/>
      <c r="C693" s="196">
        <v>45689</v>
      </c>
      <c r="D693" s="107" t="s">
        <v>285</v>
      </c>
      <c r="E693" s="107" t="s">
        <v>74</v>
      </c>
      <c r="F693" s="107" t="s">
        <v>600</v>
      </c>
      <c r="G693" s="107" t="s">
        <v>287</v>
      </c>
      <c r="H693" s="96" t="s">
        <v>288</v>
      </c>
      <c r="I693" s="107" t="s">
        <v>289</v>
      </c>
      <c r="J693" s="112" t="s">
        <v>595</v>
      </c>
      <c r="K693" s="108"/>
      <c r="L693" s="107" t="s">
        <v>222</v>
      </c>
      <c r="M693" s="96">
        <v>7901</v>
      </c>
      <c r="N693" s="96">
        <v>371011</v>
      </c>
      <c r="O693" s="84"/>
      <c r="P693" s="96">
        <v>4</v>
      </c>
      <c r="Q693" s="197" t="s">
        <v>26</v>
      </c>
      <c r="R693" s="198">
        <v>127</v>
      </c>
      <c r="S693" s="199">
        <f>Table4[[#This Row],[VALUE]]*Table4[[#This Row],[QTD]]</f>
        <v>508</v>
      </c>
    </row>
    <row r="694" spans="1:19" s="102" customFormat="1" ht="15" hidden="1" customHeight="1" x14ac:dyDescent="0.2">
      <c r="A694" s="60"/>
      <c r="B694" s="106"/>
      <c r="C694" s="196">
        <v>45689</v>
      </c>
      <c r="D694" s="107" t="s">
        <v>285</v>
      </c>
      <c r="E694" s="107" t="s">
        <v>74</v>
      </c>
      <c r="F694" s="107" t="s">
        <v>600</v>
      </c>
      <c r="G694" s="107" t="s">
        <v>287</v>
      </c>
      <c r="H694" s="96" t="s">
        <v>288</v>
      </c>
      <c r="I694" s="107" t="s">
        <v>289</v>
      </c>
      <c r="J694" s="112" t="s">
        <v>596</v>
      </c>
      <c r="K694" s="108"/>
      <c r="L694" s="107" t="s">
        <v>222</v>
      </c>
      <c r="M694" s="96">
        <v>7901</v>
      </c>
      <c r="N694" s="96">
        <v>371011</v>
      </c>
      <c r="O694" s="84"/>
      <c r="P694" s="96">
        <v>1</v>
      </c>
      <c r="Q694" s="197" t="s">
        <v>26</v>
      </c>
      <c r="R694" s="198">
        <v>278</v>
      </c>
      <c r="S694" s="199">
        <f>Table4[[#This Row],[VALUE]]*Table4[[#This Row],[QTD]]</f>
        <v>278</v>
      </c>
    </row>
    <row r="695" spans="1:19" s="102" customFormat="1" ht="15" hidden="1" customHeight="1" x14ac:dyDescent="0.2">
      <c r="A695" s="60"/>
      <c r="B695" s="106"/>
      <c r="C695" s="196">
        <v>45689</v>
      </c>
      <c r="D695" s="107" t="s">
        <v>285</v>
      </c>
      <c r="E695" s="107" t="s">
        <v>74</v>
      </c>
      <c r="F695" s="107" t="s">
        <v>600</v>
      </c>
      <c r="G695" s="107" t="s">
        <v>287</v>
      </c>
      <c r="H695" s="96" t="s">
        <v>288</v>
      </c>
      <c r="I695" s="107" t="s">
        <v>289</v>
      </c>
      <c r="J695" s="112" t="s">
        <v>597</v>
      </c>
      <c r="K695" s="108"/>
      <c r="L695" s="107" t="s">
        <v>222</v>
      </c>
      <c r="M695" s="96">
        <v>7901</v>
      </c>
      <c r="N695" s="96">
        <v>371011</v>
      </c>
      <c r="O695" s="84"/>
      <c r="P695" s="96">
        <v>1</v>
      </c>
      <c r="Q695" s="197" t="s">
        <v>26</v>
      </c>
      <c r="R695" s="198">
        <v>278</v>
      </c>
      <c r="S695" s="199">
        <f>Table4[[#This Row],[VALUE]]*Table4[[#This Row],[QTD]]</f>
        <v>278</v>
      </c>
    </row>
    <row r="696" spans="1:19" s="102" customFormat="1" ht="15" hidden="1" customHeight="1" x14ac:dyDescent="0.2">
      <c r="A696" s="60"/>
      <c r="B696" s="106"/>
      <c r="C696" s="196">
        <v>45689</v>
      </c>
      <c r="D696" s="107" t="s">
        <v>285</v>
      </c>
      <c r="E696" s="107" t="s">
        <v>74</v>
      </c>
      <c r="F696" s="107" t="s">
        <v>600</v>
      </c>
      <c r="G696" s="107" t="s">
        <v>287</v>
      </c>
      <c r="H696" s="96" t="s">
        <v>288</v>
      </c>
      <c r="I696" s="107" t="s">
        <v>289</v>
      </c>
      <c r="J696" s="112" t="s">
        <v>560</v>
      </c>
      <c r="K696" s="108"/>
      <c r="L696" s="107" t="s">
        <v>222</v>
      </c>
      <c r="M696" s="96">
        <v>7901</v>
      </c>
      <c r="N696" s="96">
        <v>371011</v>
      </c>
      <c r="O696" s="84"/>
      <c r="P696" s="96">
        <v>1</v>
      </c>
      <c r="Q696" s="197" t="s">
        <v>26</v>
      </c>
      <c r="R696" s="198">
        <v>278</v>
      </c>
      <c r="S696" s="199">
        <f>Table4[[#This Row],[VALUE]]*Table4[[#This Row],[QTD]]</f>
        <v>278</v>
      </c>
    </row>
    <row r="697" spans="1:19" s="102" customFormat="1" ht="15" hidden="1" customHeight="1" x14ac:dyDescent="0.2">
      <c r="A697" s="60"/>
      <c r="B697" s="106"/>
      <c r="C697" s="196">
        <v>45689</v>
      </c>
      <c r="D697" s="107" t="s">
        <v>285</v>
      </c>
      <c r="E697" s="107" t="s">
        <v>74</v>
      </c>
      <c r="F697" s="107" t="s">
        <v>600</v>
      </c>
      <c r="G697" s="107" t="s">
        <v>287</v>
      </c>
      <c r="H697" s="96" t="s">
        <v>288</v>
      </c>
      <c r="I697" s="107" t="s">
        <v>289</v>
      </c>
      <c r="J697" s="112" t="s">
        <v>598</v>
      </c>
      <c r="K697" s="108"/>
      <c r="L697" s="107" t="s">
        <v>222</v>
      </c>
      <c r="M697" s="96">
        <v>7901</v>
      </c>
      <c r="N697" s="96">
        <v>371011</v>
      </c>
      <c r="O697" s="84"/>
      <c r="P697" s="96">
        <v>1</v>
      </c>
      <c r="Q697" s="197" t="s">
        <v>26</v>
      </c>
      <c r="R697" s="198">
        <v>127</v>
      </c>
      <c r="S697" s="199">
        <f>Table4[[#This Row],[VALUE]]*Table4[[#This Row],[QTD]]</f>
        <v>127</v>
      </c>
    </row>
    <row r="698" spans="1:19" s="102" customFormat="1" ht="15" hidden="1" customHeight="1" x14ac:dyDescent="0.2">
      <c r="A698" s="60"/>
      <c r="B698" s="106"/>
      <c r="C698" s="196">
        <v>45689</v>
      </c>
      <c r="D698" s="107" t="s">
        <v>285</v>
      </c>
      <c r="E698" s="107" t="s">
        <v>74</v>
      </c>
      <c r="F698" s="107" t="s">
        <v>600</v>
      </c>
      <c r="G698" s="107" t="s">
        <v>287</v>
      </c>
      <c r="H698" s="96" t="s">
        <v>288</v>
      </c>
      <c r="I698" s="107" t="s">
        <v>289</v>
      </c>
      <c r="J698" s="112" t="s">
        <v>560</v>
      </c>
      <c r="K698" s="108"/>
      <c r="L698" s="107" t="s">
        <v>222</v>
      </c>
      <c r="M698" s="96">
        <v>7901</v>
      </c>
      <c r="N698" s="96">
        <v>371011</v>
      </c>
      <c r="O698" s="84"/>
      <c r="P698" s="96">
        <v>1</v>
      </c>
      <c r="Q698" s="197" t="s">
        <v>26</v>
      </c>
      <c r="R698" s="198">
        <v>127</v>
      </c>
      <c r="S698" s="199">
        <f>Table4[[#This Row],[VALUE]]*Table4[[#This Row],[QTD]]</f>
        <v>127</v>
      </c>
    </row>
    <row r="699" spans="1:19" s="102" customFormat="1" ht="15" hidden="1" customHeight="1" x14ac:dyDescent="0.2">
      <c r="A699" s="60"/>
      <c r="B699" s="106"/>
      <c r="C699" s="196">
        <v>45689</v>
      </c>
      <c r="D699" s="107" t="s">
        <v>285</v>
      </c>
      <c r="E699" s="107" t="s">
        <v>74</v>
      </c>
      <c r="F699" s="107" t="s">
        <v>600</v>
      </c>
      <c r="G699" s="107" t="s">
        <v>287</v>
      </c>
      <c r="H699" s="96" t="s">
        <v>288</v>
      </c>
      <c r="I699" s="107" t="s">
        <v>289</v>
      </c>
      <c r="J699" s="112" t="s">
        <v>560</v>
      </c>
      <c r="K699" s="108"/>
      <c r="L699" s="107" t="s">
        <v>222</v>
      </c>
      <c r="M699" s="96">
        <v>7901</v>
      </c>
      <c r="N699" s="96">
        <v>371011</v>
      </c>
      <c r="O699" s="84"/>
      <c r="P699" s="96">
        <v>2</v>
      </c>
      <c r="Q699" s="197" t="s">
        <v>26</v>
      </c>
      <c r="R699" s="198">
        <v>278</v>
      </c>
      <c r="S699" s="199">
        <f>Table4[[#This Row],[VALUE]]*Table4[[#This Row],[QTD]]</f>
        <v>556</v>
      </c>
    </row>
    <row r="700" spans="1:19" s="102" customFormat="1" ht="15" hidden="1" customHeight="1" x14ac:dyDescent="0.2">
      <c r="A700" s="60"/>
      <c r="B700" s="106"/>
      <c r="C700" s="196">
        <v>45689</v>
      </c>
      <c r="D700" s="107" t="s">
        <v>285</v>
      </c>
      <c r="E700" s="107" t="s">
        <v>74</v>
      </c>
      <c r="F700" s="107" t="s">
        <v>600</v>
      </c>
      <c r="G700" s="107" t="s">
        <v>287</v>
      </c>
      <c r="H700" s="96" t="s">
        <v>288</v>
      </c>
      <c r="I700" s="107" t="s">
        <v>289</v>
      </c>
      <c r="J700" s="112" t="s">
        <v>586</v>
      </c>
      <c r="K700" s="108"/>
      <c r="L700" s="107" t="s">
        <v>222</v>
      </c>
      <c r="M700" s="96">
        <v>7901</v>
      </c>
      <c r="N700" s="96">
        <v>371011</v>
      </c>
      <c r="O700" s="84"/>
      <c r="P700" s="96">
        <v>15</v>
      </c>
      <c r="Q700" s="197" t="s">
        <v>26</v>
      </c>
      <c r="R700" s="198">
        <v>28.6</v>
      </c>
      <c r="S700" s="199">
        <f>Table4[[#This Row],[VALUE]]*Table4[[#This Row],[QTD]]</f>
        <v>429</v>
      </c>
    </row>
    <row r="701" spans="1:19" s="102" customFormat="1" ht="15" hidden="1" customHeight="1" x14ac:dyDescent="0.2">
      <c r="A701" s="60"/>
      <c r="B701" s="106"/>
      <c r="C701" s="196">
        <v>45689</v>
      </c>
      <c r="D701" s="107" t="s">
        <v>285</v>
      </c>
      <c r="E701" s="107" t="s">
        <v>74</v>
      </c>
      <c r="F701" s="107" t="s">
        <v>600</v>
      </c>
      <c r="G701" s="107" t="s">
        <v>287</v>
      </c>
      <c r="H701" s="96" t="s">
        <v>288</v>
      </c>
      <c r="I701" s="107" t="s">
        <v>289</v>
      </c>
      <c r="J701" s="112" t="s">
        <v>599</v>
      </c>
      <c r="K701" s="108"/>
      <c r="L701" s="107" t="s">
        <v>222</v>
      </c>
      <c r="M701" s="96">
        <v>7901</v>
      </c>
      <c r="N701" s="96">
        <v>371011</v>
      </c>
      <c r="O701" s="84"/>
      <c r="P701" s="96">
        <v>40</v>
      </c>
      <c r="Q701" s="197" t="s">
        <v>26</v>
      </c>
      <c r="R701" s="198">
        <v>39</v>
      </c>
      <c r="S701" s="199">
        <f>Table4[[#This Row],[VALUE]]*Table4[[#This Row],[QTD]]</f>
        <v>1560</v>
      </c>
    </row>
    <row r="702" spans="1:19" s="102" customFormat="1" ht="15" hidden="1" customHeight="1" x14ac:dyDescent="0.2">
      <c r="A702" s="60"/>
      <c r="B702" s="106"/>
      <c r="C702" s="196">
        <v>45689</v>
      </c>
      <c r="D702" s="107" t="s">
        <v>285</v>
      </c>
      <c r="E702" s="107" t="s">
        <v>74</v>
      </c>
      <c r="F702" s="107" t="s">
        <v>600</v>
      </c>
      <c r="G702" s="107" t="s">
        <v>287</v>
      </c>
      <c r="H702" s="96" t="s">
        <v>288</v>
      </c>
      <c r="I702" s="107" t="s">
        <v>289</v>
      </c>
      <c r="J702" s="112" t="s">
        <v>588</v>
      </c>
      <c r="K702" s="108"/>
      <c r="L702" s="107" t="s">
        <v>222</v>
      </c>
      <c r="M702" s="96">
        <v>7901</v>
      </c>
      <c r="N702" s="96">
        <v>371011</v>
      </c>
      <c r="O702" s="84"/>
      <c r="P702" s="96">
        <v>4</v>
      </c>
      <c r="Q702" s="197" t="s">
        <v>26</v>
      </c>
      <c r="R702" s="198">
        <v>32.4</v>
      </c>
      <c r="S702" s="199">
        <f>Table4[[#This Row],[VALUE]]*Table4[[#This Row],[QTD]]</f>
        <v>129.6</v>
      </c>
    </row>
    <row r="703" spans="1:19" s="102" customFormat="1" ht="15" hidden="1" customHeight="1" x14ac:dyDescent="0.2">
      <c r="A703" s="113"/>
      <c r="B703" s="114"/>
      <c r="C703" s="190">
        <v>45689</v>
      </c>
      <c r="D703" s="191" t="s">
        <v>285</v>
      </c>
      <c r="E703" s="191" t="s">
        <v>74</v>
      </c>
      <c r="F703" s="191" t="s">
        <v>600</v>
      </c>
      <c r="G703" s="191" t="s">
        <v>287</v>
      </c>
      <c r="H703" s="192" t="s">
        <v>288</v>
      </c>
      <c r="I703" s="191" t="s">
        <v>289</v>
      </c>
      <c r="J703" s="212" t="s">
        <v>601</v>
      </c>
      <c r="K703" s="104"/>
      <c r="L703" s="191" t="s">
        <v>222</v>
      </c>
      <c r="M703" s="192">
        <v>7901</v>
      </c>
      <c r="N703" s="192">
        <v>371011</v>
      </c>
      <c r="O703" s="105"/>
      <c r="P703" s="192">
        <v>1</v>
      </c>
      <c r="Q703" s="193" t="s">
        <v>26</v>
      </c>
      <c r="R703" s="194">
        <v>127</v>
      </c>
      <c r="S703" s="195">
        <f>Table4[[#This Row],[VALUE]]*Table4[[#This Row],[QTD]]</f>
        <v>127</v>
      </c>
    </row>
    <row r="704" spans="1:19" s="102" customFormat="1" ht="15" hidden="1" customHeight="1" x14ac:dyDescent="0.2">
      <c r="A704" s="115"/>
      <c r="B704" s="116"/>
      <c r="C704" s="196">
        <v>45689</v>
      </c>
      <c r="D704" s="107" t="s">
        <v>285</v>
      </c>
      <c r="E704" s="107" t="s">
        <v>74</v>
      </c>
      <c r="F704" s="107" t="s">
        <v>600</v>
      </c>
      <c r="G704" s="107" t="s">
        <v>287</v>
      </c>
      <c r="H704" s="96" t="s">
        <v>288</v>
      </c>
      <c r="I704" s="107" t="s">
        <v>289</v>
      </c>
      <c r="J704" s="112" t="s">
        <v>601</v>
      </c>
      <c r="K704" s="108"/>
      <c r="L704" s="107" t="s">
        <v>222</v>
      </c>
      <c r="M704" s="96">
        <v>7901</v>
      </c>
      <c r="N704" s="96">
        <v>371011</v>
      </c>
      <c r="O704" s="84"/>
      <c r="P704" s="96">
        <v>4</v>
      </c>
      <c r="Q704" s="197" t="s">
        <v>26</v>
      </c>
      <c r="R704" s="198">
        <v>127</v>
      </c>
      <c r="S704" s="199">
        <f>Table4[[#This Row],[VALUE]]*Table4[[#This Row],[QTD]]</f>
        <v>508</v>
      </c>
    </row>
    <row r="705" spans="1:19" s="102" customFormat="1" ht="15" hidden="1" customHeight="1" x14ac:dyDescent="0.2">
      <c r="A705" s="115"/>
      <c r="B705" s="116"/>
      <c r="C705" s="196">
        <v>45689</v>
      </c>
      <c r="D705" s="107" t="s">
        <v>285</v>
      </c>
      <c r="E705" s="107" t="s">
        <v>74</v>
      </c>
      <c r="F705" s="107" t="s">
        <v>600</v>
      </c>
      <c r="G705" s="107" t="s">
        <v>287</v>
      </c>
      <c r="H705" s="96" t="s">
        <v>288</v>
      </c>
      <c r="I705" s="107" t="s">
        <v>289</v>
      </c>
      <c r="J705" s="112" t="s">
        <v>555</v>
      </c>
      <c r="K705" s="108"/>
      <c r="L705" s="107" t="s">
        <v>222</v>
      </c>
      <c r="M705" s="96">
        <v>7901</v>
      </c>
      <c r="N705" s="96">
        <v>371011</v>
      </c>
      <c r="O705" s="84"/>
      <c r="P705" s="96">
        <v>1</v>
      </c>
      <c r="Q705" s="197" t="s">
        <v>26</v>
      </c>
      <c r="R705" s="198">
        <v>325</v>
      </c>
      <c r="S705" s="199">
        <f>Table4[[#This Row],[VALUE]]*Table4[[#This Row],[QTD]]</f>
        <v>325</v>
      </c>
    </row>
    <row r="706" spans="1:19" s="102" customFormat="1" ht="15" hidden="1" customHeight="1" x14ac:dyDescent="0.2">
      <c r="A706" s="115"/>
      <c r="B706" s="116"/>
      <c r="C706" s="196">
        <v>45689</v>
      </c>
      <c r="D706" s="107" t="s">
        <v>285</v>
      </c>
      <c r="E706" s="107" t="s">
        <v>74</v>
      </c>
      <c r="F706" s="107" t="s">
        <v>600</v>
      </c>
      <c r="G706" s="107" t="s">
        <v>287</v>
      </c>
      <c r="H706" s="96" t="s">
        <v>288</v>
      </c>
      <c r="I706" s="107" t="s">
        <v>289</v>
      </c>
      <c r="J706" s="112" t="s">
        <v>602</v>
      </c>
      <c r="K706" s="108"/>
      <c r="L706" s="107" t="s">
        <v>222</v>
      </c>
      <c r="M706" s="96">
        <v>7901</v>
      </c>
      <c r="N706" s="96">
        <v>371011</v>
      </c>
      <c r="O706" s="84"/>
      <c r="P706" s="96">
        <v>1</v>
      </c>
      <c r="Q706" s="197" t="s">
        <v>26</v>
      </c>
      <c r="R706" s="198">
        <v>127</v>
      </c>
      <c r="S706" s="199">
        <f>Table4[[#This Row],[VALUE]]*Table4[[#This Row],[QTD]]</f>
        <v>127</v>
      </c>
    </row>
    <row r="707" spans="1:19" s="102" customFormat="1" ht="15" hidden="1" customHeight="1" x14ac:dyDescent="0.2">
      <c r="A707" s="115"/>
      <c r="B707" s="116"/>
      <c r="C707" s="196">
        <v>45689</v>
      </c>
      <c r="D707" s="107" t="s">
        <v>285</v>
      </c>
      <c r="E707" s="107" t="s">
        <v>74</v>
      </c>
      <c r="F707" s="107" t="s">
        <v>600</v>
      </c>
      <c r="G707" s="107" t="s">
        <v>287</v>
      </c>
      <c r="H707" s="96" t="s">
        <v>288</v>
      </c>
      <c r="I707" s="107" t="s">
        <v>289</v>
      </c>
      <c r="J707" s="112" t="s">
        <v>603</v>
      </c>
      <c r="K707" s="108"/>
      <c r="L707" s="107" t="s">
        <v>222</v>
      </c>
      <c r="M707" s="96">
        <v>7901</v>
      </c>
      <c r="N707" s="96">
        <v>371011</v>
      </c>
      <c r="O707" s="84"/>
      <c r="P707" s="96">
        <v>2</v>
      </c>
      <c r="Q707" s="197" t="s">
        <v>26</v>
      </c>
      <c r="R707" s="198">
        <v>278</v>
      </c>
      <c r="S707" s="199">
        <f>Table4[[#This Row],[VALUE]]*Table4[[#This Row],[QTD]]</f>
        <v>556</v>
      </c>
    </row>
    <row r="708" spans="1:19" s="102" customFormat="1" ht="15" hidden="1" customHeight="1" x14ac:dyDescent="0.2">
      <c r="A708" s="115"/>
      <c r="B708" s="116"/>
      <c r="C708" s="196">
        <v>45689</v>
      </c>
      <c r="D708" s="107" t="s">
        <v>285</v>
      </c>
      <c r="E708" s="107" t="s">
        <v>74</v>
      </c>
      <c r="F708" s="107" t="s">
        <v>600</v>
      </c>
      <c r="G708" s="107" t="s">
        <v>287</v>
      </c>
      <c r="H708" s="96" t="s">
        <v>288</v>
      </c>
      <c r="I708" s="107" t="s">
        <v>289</v>
      </c>
      <c r="J708" s="112" t="s">
        <v>603</v>
      </c>
      <c r="K708" s="108"/>
      <c r="L708" s="107" t="s">
        <v>222</v>
      </c>
      <c r="M708" s="96">
        <v>7901</v>
      </c>
      <c r="N708" s="96">
        <v>371011</v>
      </c>
      <c r="O708" s="84"/>
      <c r="P708" s="96">
        <v>1</v>
      </c>
      <c r="Q708" s="197" t="s">
        <v>26</v>
      </c>
      <c r="R708" s="198">
        <v>278</v>
      </c>
      <c r="S708" s="199">
        <f>Table4[[#This Row],[VALUE]]*Table4[[#This Row],[QTD]]</f>
        <v>278</v>
      </c>
    </row>
    <row r="709" spans="1:19" s="102" customFormat="1" ht="15" hidden="1" customHeight="1" x14ac:dyDescent="0.2">
      <c r="A709" s="115"/>
      <c r="B709" s="116"/>
      <c r="C709" s="196">
        <v>45689</v>
      </c>
      <c r="D709" s="107" t="s">
        <v>285</v>
      </c>
      <c r="E709" s="107" t="s">
        <v>74</v>
      </c>
      <c r="F709" s="107" t="s">
        <v>600</v>
      </c>
      <c r="G709" s="107" t="s">
        <v>287</v>
      </c>
      <c r="H709" s="96" t="s">
        <v>288</v>
      </c>
      <c r="I709" s="107" t="s">
        <v>289</v>
      </c>
      <c r="J709" s="112" t="s">
        <v>604</v>
      </c>
      <c r="K709" s="108"/>
      <c r="L709" s="107" t="s">
        <v>222</v>
      </c>
      <c r="M709" s="96">
        <v>7901</v>
      </c>
      <c r="N709" s="96">
        <v>371011</v>
      </c>
      <c r="O709" s="84"/>
      <c r="P709" s="96">
        <v>4</v>
      </c>
      <c r="Q709" s="197" t="s">
        <v>26</v>
      </c>
      <c r="R709" s="198">
        <v>11.5</v>
      </c>
      <c r="S709" s="199">
        <f>Table4[[#This Row],[VALUE]]*Table4[[#This Row],[QTD]]</f>
        <v>46</v>
      </c>
    </row>
    <row r="710" spans="1:19" s="102" customFormat="1" ht="15" hidden="1" customHeight="1" x14ac:dyDescent="0.2">
      <c r="A710" s="115"/>
      <c r="B710" s="116"/>
      <c r="C710" s="196">
        <v>45689</v>
      </c>
      <c r="D710" s="107" t="s">
        <v>285</v>
      </c>
      <c r="E710" s="107" t="s">
        <v>74</v>
      </c>
      <c r="F710" s="107" t="s">
        <v>600</v>
      </c>
      <c r="G710" s="107" t="s">
        <v>287</v>
      </c>
      <c r="H710" s="96" t="s">
        <v>288</v>
      </c>
      <c r="I710" s="107" t="s">
        <v>289</v>
      </c>
      <c r="J710" s="112" t="s">
        <v>604</v>
      </c>
      <c r="K710" s="108"/>
      <c r="L710" s="107" t="s">
        <v>222</v>
      </c>
      <c r="M710" s="96">
        <v>7901</v>
      </c>
      <c r="N710" s="96">
        <v>371011</v>
      </c>
      <c r="O710" s="84"/>
      <c r="P710" s="96">
        <v>2</v>
      </c>
      <c r="Q710" s="197" t="s">
        <v>26</v>
      </c>
      <c r="R710" s="198">
        <v>11.5</v>
      </c>
      <c r="S710" s="199">
        <f>Table4[[#This Row],[VALUE]]*Table4[[#This Row],[QTD]]</f>
        <v>23</v>
      </c>
    </row>
    <row r="711" spans="1:19" s="102" customFormat="1" ht="15" hidden="1" customHeight="1" x14ac:dyDescent="0.2">
      <c r="A711" s="115"/>
      <c r="B711" s="116"/>
      <c r="C711" s="196">
        <v>45689</v>
      </c>
      <c r="D711" s="107" t="s">
        <v>285</v>
      </c>
      <c r="E711" s="107" t="s">
        <v>74</v>
      </c>
      <c r="F711" s="107" t="s">
        <v>600</v>
      </c>
      <c r="G711" s="107" t="s">
        <v>287</v>
      </c>
      <c r="H711" s="96" t="s">
        <v>288</v>
      </c>
      <c r="I711" s="107" t="s">
        <v>289</v>
      </c>
      <c r="J711" s="112" t="s">
        <v>605</v>
      </c>
      <c r="K711" s="108"/>
      <c r="L711" s="107" t="s">
        <v>222</v>
      </c>
      <c r="M711" s="96">
        <v>7901</v>
      </c>
      <c r="N711" s="96">
        <v>371011</v>
      </c>
      <c r="O711" s="84"/>
      <c r="P711" s="96">
        <v>4</v>
      </c>
      <c r="Q711" s="197" t="s">
        <v>26</v>
      </c>
      <c r="R711" s="198">
        <v>7.2</v>
      </c>
      <c r="S711" s="199">
        <f>Table4[[#This Row],[VALUE]]*Table4[[#This Row],[QTD]]</f>
        <v>28.8</v>
      </c>
    </row>
    <row r="712" spans="1:19" s="102" customFormat="1" ht="15" hidden="1" customHeight="1" x14ac:dyDescent="0.2">
      <c r="A712" s="115"/>
      <c r="B712" s="116"/>
      <c r="C712" s="196">
        <v>45689</v>
      </c>
      <c r="D712" s="107" t="s">
        <v>285</v>
      </c>
      <c r="E712" s="107" t="s">
        <v>74</v>
      </c>
      <c r="F712" s="107" t="s">
        <v>600</v>
      </c>
      <c r="G712" s="107" t="s">
        <v>287</v>
      </c>
      <c r="H712" s="96" t="s">
        <v>288</v>
      </c>
      <c r="I712" s="107" t="s">
        <v>289</v>
      </c>
      <c r="J712" s="112" t="s">
        <v>605</v>
      </c>
      <c r="K712" s="108"/>
      <c r="L712" s="107" t="s">
        <v>222</v>
      </c>
      <c r="M712" s="96">
        <v>7901</v>
      </c>
      <c r="N712" s="96">
        <v>371011</v>
      </c>
      <c r="O712" s="84"/>
      <c r="P712" s="96">
        <v>4</v>
      </c>
      <c r="Q712" s="197" t="s">
        <v>26</v>
      </c>
      <c r="R712" s="198">
        <v>7.2</v>
      </c>
      <c r="S712" s="199">
        <f>Table4[[#This Row],[VALUE]]*Table4[[#This Row],[QTD]]</f>
        <v>28.8</v>
      </c>
    </row>
    <row r="713" spans="1:19" s="102" customFormat="1" ht="15" hidden="1" customHeight="1" x14ac:dyDescent="0.2">
      <c r="A713" s="123"/>
      <c r="B713" s="108"/>
      <c r="C713" s="196">
        <v>45689</v>
      </c>
      <c r="D713" s="107" t="s">
        <v>285</v>
      </c>
      <c r="E713" s="112" t="s">
        <v>74</v>
      </c>
      <c r="F713" s="112" t="s">
        <v>600</v>
      </c>
      <c r="G713" s="107" t="s">
        <v>287</v>
      </c>
      <c r="H713" s="96" t="s">
        <v>288</v>
      </c>
      <c r="I713" s="107" t="s">
        <v>289</v>
      </c>
      <c r="J713" s="112" t="s">
        <v>605</v>
      </c>
      <c r="K713" s="108"/>
      <c r="L713" s="107" t="s">
        <v>222</v>
      </c>
      <c r="M713" s="96">
        <v>7901</v>
      </c>
      <c r="N713" s="96">
        <v>371011</v>
      </c>
      <c r="O713" s="84"/>
      <c r="P713" s="96">
        <v>4</v>
      </c>
      <c r="Q713" s="197" t="s">
        <v>26</v>
      </c>
      <c r="R713" s="198">
        <v>7.2</v>
      </c>
      <c r="S713" s="199">
        <f>Table4[[#This Row],[VALUE]]*Table4[[#This Row],[QTD]]</f>
        <v>28.8</v>
      </c>
    </row>
    <row r="714" spans="1:19" ht="15" hidden="1" customHeight="1" x14ac:dyDescent="0.2">
      <c r="A714" s="124"/>
      <c r="B714" s="125"/>
      <c r="C714" s="200">
        <v>45689</v>
      </c>
      <c r="D714" s="201" t="s">
        <v>285</v>
      </c>
      <c r="E714" s="213" t="s">
        <v>74</v>
      </c>
      <c r="F714" s="213" t="s">
        <v>600</v>
      </c>
      <c r="G714" s="201" t="s">
        <v>287</v>
      </c>
      <c r="H714" s="109" t="s">
        <v>288</v>
      </c>
      <c r="I714" s="201" t="s">
        <v>289</v>
      </c>
      <c r="J714" s="214" t="s">
        <v>606</v>
      </c>
      <c r="K714" s="109"/>
      <c r="L714" s="201" t="s">
        <v>222</v>
      </c>
      <c r="M714" s="96">
        <v>7901</v>
      </c>
      <c r="N714" s="96">
        <v>371011</v>
      </c>
      <c r="O714" s="84"/>
      <c r="P714" s="96">
        <v>2</v>
      </c>
      <c r="Q714" s="197" t="s">
        <v>26</v>
      </c>
      <c r="R714" s="198">
        <v>43</v>
      </c>
      <c r="S714" s="204">
        <f>Table4[[#This Row],[VALUE]]*Table4[[#This Row],[QTD]]</f>
        <v>86</v>
      </c>
    </row>
    <row r="715" spans="1:19" ht="15" hidden="1" customHeight="1" x14ac:dyDescent="0.2">
      <c r="B715" s="126"/>
      <c r="C715" s="190">
        <v>45689</v>
      </c>
      <c r="D715" s="191" t="s">
        <v>285</v>
      </c>
      <c r="E715" s="212" t="s">
        <v>592</v>
      </c>
      <c r="F715" s="212" t="s">
        <v>593</v>
      </c>
      <c r="G715" s="191" t="s">
        <v>287</v>
      </c>
      <c r="H715" s="192" t="s">
        <v>288</v>
      </c>
      <c r="I715" s="191" t="s">
        <v>289</v>
      </c>
      <c r="J715" s="191" t="s">
        <v>446</v>
      </c>
      <c r="K715" s="127"/>
      <c r="L715" s="191" t="s">
        <v>222</v>
      </c>
      <c r="M715" s="192">
        <v>7901</v>
      </c>
      <c r="N715" s="192">
        <v>371011</v>
      </c>
      <c r="O715" s="105"/>
      <c r="P715" s="192">
        <v>12</v>
      </c>
      <c r="Q715" s="193" t="s">
        <v>26</v>
      </c>
      <c r="R715" s="194">
        <v>14</v>
      </c>
      <c r="S715" s="195">
        <f>Table4[[#This Row],[VALUE]]*Table4[[#This Row],[QTD]]</f>
        <v>168</v>
      </c>
    </row>
    <row r="716" spans="1:19" ht="15" hidden="1" customHeight="1" x14ac:dyDescent="0.2">
      <c r="B716" s="128"/>
      <c r="C716" s="196">
        <v>45689</v>
      </c>
      <c r="D716" s="107" t="s">
        <v>285</v>
      </c>
      <c r="E716" s="112" t="s">
        <v>592</v>
      </c>
      <c r="F716" s="112" t="s">
        <v>593</v>
      </c>
      <c r="G716" s="107" t="s">
        <v>287</v>
      </c>
      <c r="H716" s="96" t="s">
        <v>288</v>
      </c>
      <c r="I716" s="107" t="s">
        <v>289</v>
      </c>
      <c r="J716" s="107" t="s">
        <v>607</v>
      </c>
      <c r="K716" s="96"/>
      <c r="L716" s="107" t="s">
        <v>222</v>
      </c>
      <c r="M716" s="96">
        <v>7901</v>
      </c>
      <c r="N716" s="96">
        <v>371011</v>
      </c>
      <c r="O716" s="84"/>
      <c r="P716" s="96">
        <v>12</v>
      </c>
      <c r="Q716" s="197" t="s">
        <v>26</v>
      </c>
      <c r="R716" s="198">
        <v>9</v>
      </c>
      <c r="S716" s="199">
        <f>Table4[[#This Row],[VALUE]]*Table4[[#This Row],[QTD]]</f>
        <v>108</v>
      </c>
    </row>
    <row r="717" spans="1:19" ht="15" hidden="1" customHeight="1" x14ac:dyDescent="0.2">
      <c r="A717" s="129"/>
      <c r="B717" s="134"/>
      <c r="C717" s="215">
        <v>45689</v>
      </c>
      <c r="D717" s="206" t="s">
        <v>285</v>
      </c>
      <c r="E717" s="208" t="s">
        <v>592</v>
      </c>
      <c r="F717" s="208" t="s">
        <v>593</v>
      </c>
      <c r="G717" s="206" t="s">
        <v>287</v>
      </c>
      <c r="H717" s="207" t="s">
        <v>288</v>
      </c>
      <c r="I717" s="206" t="s">
        <v>289</v>
      </c>
      <c r="J717" s="206" t="s">
        <v>608</v>
      </c>
      <c r="K717" s="135"/>
      <c r="L717" s="206" t="s">
        <v>222</v>
      </c>
      <c r="M717" s="207">
        <v>7901</v>
      </c>
      <c r="N717" s="216">
        <v>371011</v>
      </c>
      <c r="O717" s="136"/>
      <c r="P717" s="207">
        <v>9</v>
      </c>
      <c r="Q717" s="209" t="s">
        <v>26</v>
      </c>
      <c r="R717" s="210">
        <v>18</v>
      </c>
      <c r="S717" s="211">
        <f>Table4[[#This Row],[VALUE]]*Table4[[#This Row],[QTD]]</f>
        <v>162</v>
      </c>
    </row>
    <row r="718" spans="1:19" ht="15" hidden="1" customHeight="1" x14ac:dyDescent="0.2">
      <c r="B718" s="130"/>
      <c r="C718" s="190">
        <v>45689</v>
      </c>
      <c r="D718" s="191" t="s">
        <v>285</v>
      </c>
      <c r="E718" s="212" t="s">
        <v>634</v>
      </c>
      <c r="F718" s="212" t="s">
        <v>633</v>
      </c>
      <c r="G718" s="191" t="s">
        <v>287</v>
      </c>
      <c r="H718" s="192" t="s">
        <v>288</v>
      </c>
      <c r="I718" s="107" t="s">
        <v>289</v>
      </c>
      <c r="J718" s="107" t="s">
        <v>609</v>
      </c>
      <c r="K718" s="131"/>
      <c r="L718" s="107" t="s">
        <v>222</v>
      </c>
      <c r="M718" s="96">
        <v>7901</v>
      </c>
      <c r="N718" s="217">
        <v>371011</v>
      </c>
      <c r="O718" s="137"/>
      <c r="P718" s="96">
        <v>1</v>
      </c>
      <c r="Q718" s="197" t="s">
        <v>26</v>
      </c>
      <c r="R718" s="198">
        <v>97</v>
      </c>
      <c r="S718" s="199">
        <f>Table4[[#This Row],[VALUE]]*Table4[[#This Row],[QTD]]</f>
        <v>97</v>
      </c>
    </row>
    <row r="719" spans="1:19" ht="15" hidden="1" customHeight="1" x14ac:dyDescent="0.2">
      <c r="B719" s="132"/>
      <c r="C719" s="196">
        <v>45689</v>
      </c>
      <c r="D719" s="107" t="s">
        <v>285</v>
      </c>
      <c r="E719" s="112" t="s">
        <v>634</v>
      </c>
      <c r="F719" s="112" t="s">
        <v>633</v>
      </c>
      <c r="G719" s="107" t="s">
        <v>287</v>
      </c>
      <c r="H719" s="96" t="s">
        <v>288</v>
      </c>
      <c r="I719" s="107" t="s">
        <v>289</v>
      </c>
      <c r="J719" s="107" t="s">
        <v>610</v>
      </c>
      <c r="K719" s="133"/>
      <c r="L719" s="107" t="s">
        <v>222</v>
      </c>
      <c r="M719" s="96">
        <v>7901</v>
      </c>
      <c r="N719" s="217">
        <v>371011</v>
      </c>
      <c r="O719" s="103"/>
      <c r="P719" s="96">
        <v>1</v>
      </c>
      <c r="Q719" s="197" t="s">
        <v>26</v>
      </c>
      <c r="R719" s="198">
        <v>11.5</v>
      </c>
      <c r="S719" s="199">
        <f>Table4[[#This Row],[VALUE]]*Table4[[#This Row],[QTD]]</f>
        <v>11.5</v>
      </c>
    </row>
    <row r="720" spans="1:19" ht="15" hidden="1" customHeight="1" x14ac:dyDescent="0.2">
      <c r="B720" s="132"/>
      <c r="C720" s="196">
        <v>45689</v>
      </c>
      <c r="D720" s="107" t="s">
        <v>285</v>
      </c>
      <c r="E720" s="112" t="s">
        <v>634</v>
      </c>
      <c r="F720" s="112" t="s">
        <v>633</v>
      </c>
      <c r="G720" s="107" t="s">
        <v>287</v>
      </c>
      <c r="H720" s="96" t="s">
        <v>288</v>
      </c>
      <c r="I720" s="107" t="s">
        <v>289</v>
      </c>
      <c r="J720" s="107" t="s">
        <v>611</v>
      </c>
      <c r="K720" s="133"/>
      <c r="L720" s="107" t="s">
        <v>222</v>
      </c>
      <c r="M720" s="96">
        <v>7901</v>
      </c>
      <c r="N720" s="217">
        <v>371011</v>
      </c>
      <c r="O720" s="103"/>
      <c r="P720" s="96">
        <v>1</v>
      </c>
      <c r="Q720" s="197" t="s">
        <v>26</v>
      </c>
      <c r="R720" s="198">
        <v>6.75</v>
      </c>
      <c r="S720" s="199">
        <f>Table4[[#This Row],[VALUE]]*Table4[[#This Row],[QTD]]</f>
        <v>6.75</v>
      </c>
    </row>
    <row r="721" spans="2:19" ht="15" hidden="1" customHeight="1" x14ac:dyDescent="0.2">
      <c r="B721" s="132"/>
      <c r="C721" s="196">
        <v>45689</v>
      </c>
      <c r="D721" s="107" t="s">
        <v>285</v>
      </c>
      <c r="E721" s="112" t="s">
        <v>634</v>
      </c>
      <c r="F721" s="112" t="s">
        <v>633</v>
      </c>
      <c r="G721" s="107" t="s">
        <v>287</v>
      </c>
      <c r="H721" s="96" t="s">
        <v>288</v>
      </c>
      <c r="I721" s="107" t="s">
        <v>289</v>
      </c>
      <c r="J721" s="107" t="s">
        <v>612</v>
      </c>
      <c r="K721" s="133"/>
      <c r="L721" s="107" t="s">
        <v>222</v>
      </c>
      <c r="M721" s="96">
        <v>7901</v>
      </c>
      <c r="N721" s="96">
        <v>371011</v>
      </c>
      <c r="O721" s="103"/>
      <c r="P721" s="96">
        <v>1</v>
      </c>
      <c r="Q721" s="197" t="s">
        <v>26</v>
      </c>
      <c r="R721" s="198">
        <v>11.75</v>
      </c>
      <c r="S721" s="199">
        <f>Table4[[#This Row],[VALUE]]*Table4[[#This Row],[QTD]]</f>
        <v>11.75</v>
      </c>
    </row>
    <row r="722" spans="2:19" ht="15" hidden="1" customHeight="1" x14ac:dyDescent="0.2">
      <c r="B722" s="132"/>
      <c r="C722" s="196">
        <v>45689</v>
      </c>
      <c r="D722" s="107" t="s">
        <v>285</v>
      </c>
      <c r="E722" s="112" t="s">
        <v>634</v>
      </c>
      <c r="F722" s="112" t="s">
        <v>633</v>
      </c>
      <c r="G722" s="107" t="s">
        <v>287</v>
      </c>
      <c r="H722" s="96" t="s">
        <v>288</v>
      </c>
      <c r="I722" s="107" t="s">
        <v>289</v>
      </c>
      <c r="J722" s="107" t="s">
        <v>612</v>
      </c>
      <c r="K722" s="133"/>
      <c r="L722" s="107" t="s">
        <v>222</v>
      </c>
      <c r="M722" s="96">
        <v>7901</v>
      </c>
      <c r="N722" s="96">
        <v>371011</v>
      </c>
      <c r="O722" s="103"/>
      <c r="P722" s="96">
        <v>80</v>
      </c>
      <c r="Q722" s="197" t="s">
        <v>26</v>
      </c>
      <c r="R722" s="198">
        <v>1</v>
      </c>
      <c r="S722" s="199">
        <f>Table4[[#This Row],[VALUE]]*Table4[[#This Row],[QTD]]</f>
        <v>80</v>
      </c>
    </row>
    <row r="723" spans="2:19" ht="15" hidden="1" customHeight="1" x14ac:dyDescent="0.2">
      <c r="B723" s="132"/>
      <c r="C723" s="196">
        <v>45689</v>
      </c>
      <c r="D723" s="107" t="s">
        <v>285</v>
      </c>
      <c r="E723" s="112" t="s">
        <v>634</v>
      </c>
      <c r="F723" s="112" t="s">
        <v>633</v>
      </c>
      <c r="G723" s="107" t="s">
        <v>287</v>
      </c>
      <c r="H723" s="96" t="s">
        <v>288</v>
      </c>
      <c r="I723" s="107" t="s">
        <v>289</v>
      </c>
      <c r="J723" s="107" t="s">
        <v>449</v>
      </c>
      <c r="K723" s="133"/>
      <c r="L723" s="107" t="s">
        <v>222</v>
      </c>
      <c r="M723" s="96">
        <v>7901</v>
      </c>
      <c r="N723" s="96">
        <v>371011</v>
      </c>
      <c r="O723" s="103"/>
      <c r="P723" s="96">
        <v>1</v>
      </c>
      <c r="Q723" s="197" t="s">
        <v>26</v>
      </c>
      <c r="R723" s="198">
        <v>15.5</v>
      </c>
      <c r="S723" s="199">
        <f>Table4[[#This Row],[VALUE]]*Table4[[#This Row],[QTD]]</f>
        <v>15.5</v>
      </c>
    </row>
    <row r="724" spans="2:19" ht="15" hidden="1" customHeight="1" x14ac:dyDescent="0.2">
      <c r="B724" s="134"/>
      <c r="C724" s="200">
        <v>45689</v>
      </c>
      <c r="D724" s="201" t="s">
        <v>285</v>
      </c>
      <c r="E724" s="213" t="s">
        <v>634</v>
      </c>
      <c r="F724" s="213" t="s">
        <v>633</v>
      </c>
      <c r="G724" s="201" t="s">
        <v>287</v>
      </c>
      <c r="H724" s="109" t="s">
        <v>288</v>
      </c>
      <c r="I724" s="201" t="s">
        <v>289</v>
      </c>
      <c r="J724" s="201" t="s">
        <v>608</v>
      </c>
      <c r="K724" s="135"/>
      <c r="L724" s="201" t="s">
        <v>222</v>
      </c>
      <c r="M724" s="109">
        <v>7901</v>
      </c>
      <c r="N724" s="109">
        <v>371011</v>
      </c>
      <c r="O724" s="136"/>
      <c r="P724" s="109">
        <v>15</v>
      </c>
      <c r="Q724" s="202" t="s">
        <v>26</v>
      </c>
      <c r="R724" s="203">
        <v>6.75</v>
      </c>
      <c r="S724" s="204">
        <f>Table4[[#This Row],[VALUE]]*Table4[[#This Row],[QTD]]</f>
        <v>101.25</v>
      </c>
    </row>
    <row r="725" spans="2:19" ht="15" hidden="1" customHeight="1" x14ac:dyDescent="0.2">
      <c r="B725" s="138">
        <v>45669</v>
      </c>
      <c r="C725" s="190">
        <v>45689</v>
      </c>
      <c r="D725" s="191" t="s">
        <v>285</v>
      </c>
      <c r="E725" s="212" t="s">
        <v>557</v>
      </c>
      <c r="F725" s="212" t="s">
        <v>593</v>
      </c>
      <c r="G725" s="191" t="s">
        <v>287</v>
      </c>
      <c r="H725" s="192" t="s">
        <v>288</v>
      </c>
      <c r="I725" s="191" t="s">
        <v>289</v>
      </c>
      <c r="J725" s="191" t="s">
        <v>595</v>
      </c>
      <c r="K725" s="131"/>
      <c r="L725" s="191" t="s">
        <v>222</v>
      </c>
      <c r="M725" s="192">
        <v>7901</v>
      </c>
      <c r="N725" s="192">
        <v>371011</v>
      </c>
      <c r="O725" s="137"/>
      <c r="P725" s="192">
        <v>6</v>
      </c>
      <c r="Q725" s="193" t="s">
        <v>26</v>
      </c>
      <c r="R725" s="194">
        <v>127</v>
      </c>
      <c r="S725" s="195">
        <f>Table4[[#This Row],[VALUE]]*Table4[[#This Row],[QTD]]</f>
        <v>762</v>
      </c>
    </row>
    <row r="726" spans="2:19" ht="15" hidden="1" customHeight="1" x14ac:dyDescent="0.2">
      <c r="B726" s="139">
        <v>45669</v>
      </c>
      <c r="C726" s="196">
        <v>45689</v>
      </c>
      <c r="D726" s="107" t="s">
        <v>285</v>
      </c>
      <c r="E726" s="112" t="s">
        <v>557</v>
      </c>
      <c r="F726" s="112" t="s">
        <v>593</v>
      </c>
      <c r="G726" s="107" t="s">
        <v>287</v>
      </c>
      <c r="H726" s="96" t="s">
        <v>288</v>
      </c>
      <c r="I726" s="107" t="s">
        <v>289</v>
      </c>
      <c r="J726" s="107" t="s">
        <v>613</v>
      </c>
      <c r="K726" s="133"/>
      <c r="L726" s="107" t="s">
        <v>222</v>
      </c>
      <c r="M726" s="96">
        <v>7901</v>
      </c>
      <c r="N726" s="96">
        <v>371011</v>
      </c>
      <c r="O726" s="103"/>
      <c r="P726" s="96">
        <v>2</v>
      </c>
      <c r="Q726" s="197" t="s">
        <v>26</v>
      </c>
      <c r="R726" s="198">
        <v>127</v>
      </c>
      <c r="S726" s="199">
        <f>Table4[[#This Row],[VALUE]]*Table4[[#This Row],[QTD]]</f>
        <v>254</v>
      </c>
    </row>
    <row r="727" spans="2:19" ht="15" hidden="1" customHeight="1" x14ac:dyDescent="0.2">
      <c r="B727" s="139">
        <v>45669</v>
      </c>
      <c r="C727" s="196">
        <v>45689</v>
      </c>
      <c r="D727" s="107" t="s">
        <v>285</v>
      </c>
      <c r="E727" s="112" t="s">
        <v>557</v>
      </c>
      <c r="F727" s="112" t="s">
        <v>593</v>
      </c>
      <c r="G727" s="107" t="s">
        <v>287</v>
      </c>
      <c r="H727" s="96" t="s">
        <v>288</v>
      </c>
      <c r="I727" s="107" t="s">
        <v>289</v>
      </c>
      <c r="J727" s="107" t="s">
        <v>613</v>
      </c>
      <c r="K727" s="133"/>
      <c r="L727" s="107" t="s">
        <v>222</v>
      </c>
      <c r="M727" s="96">
        <v>7901</v>
      </c>
      <c r="N727" s="96">
        <v>371011</v>
      </c>
      <c r="O727" s="103"/>
      <c r="P727" s="96">
        <v>1</v>
      </c>
      <c r="Q727" s="197" t="s">
        <v>26</v>
      </c>
      <c r="R727" s="198">
        <v>127</v>
      </c>
      <c r="S727" s="199">
        <f>Table4[[#This Row],[VALUE]]*Table4[[#This Row],[QTD]]</f>
        <v>127</v>
      </c>
    </row>
    <row r="728" spans="2:19" ht="15" hidden="1" customHeight="1" x14ac:dyDescent="0.2">
      <c r="B728" s="139">
        <v>45669</v>
      </c>
      <c r="C728" s="196">
        <v>45689</v>
      </c>
      <c r="D728" s="107" t="s">
        <v>285</v>
      </c>
      <c r="E728" s="112" t="s">
        <v>557</v>
      </c>
      <c r="F728" s="112" t="s">
        <v>593</v>
      </c>
      <c r="G728" s="107" t="s">
        <v>287</v>
      </c>
      <c r="H728" s="96" t="s">
        <v>288</v>
      </c>
      <c r="I728" s="107" t="s">
        <v>289</v>
      </c>
      <c r="J728" s="107" t="s">
        <v>614</v>
      </c>
      <c r="K728" s="133"/>
      <c r="L728" s="107" t="s">
        <v>222</v>
      </c>
      <c r="M728" s="96">
        <v>7901</v>
      </c>
      <c r="N728" s="96">
        <v>371011</v>
      </c>
      <c r="O728" s="103"/>
      <c r="P728" s="96">
        <v>1</v>
      </c>
      <c r="Q728" s="197" t="s">
        <v>26</v>
      </c>
      <c r="R728" s="198">
        <v>127</v>
      </c>
      <c r="S728" s="199">
        <f>Table4[[#This Row],[VALUE]]*Table4[[#This Row],[QTD]]</f>
        <v>127</v>
      </c>
    </row>
    <row r="729" spans="2:19" ht="15" hidden="1" customHeight="1" x14ac:dyDescent="0.2">
      <c r="B729" s="139">
        <v>45669</v>
      </c>
      <c r="C729" s="196">
        <v>45689</v>
      </c>
      <c r="D729" s="107" t="s">
        <v>285</v>
      </c>
      <c r="E729" s="112" t="s">
        <v>557</v>
      </c>
      <c r="F729" s="112" t="s">
        <v>593</v>
      </c>
      <c r="G729" s="107" t="s">
        <v>287</v>
      </c>
      <c r="H729" s="96" t="s">
        <v>288</v>
      </c>
      <c r="I729" s="107" t="s">
        <v>289</v>
      </c>
      <c r="J729" s="107" t="s">
        <v>615</v>
      </c>
      <c r="K729" s="133"/>
      <c r="L729" s="107" t="s">
        <v>222</v>
      </c>
      <c r="M729" s="96">
        <v>7901</v>
      </c>
      <c r="N729" s="96">
        <v>371011</v>
      </c>
      <c r="O729" s="103"/>
      <c r="P729" s="96">
        <v>2</v>
      </c>
      <c r="Q729" s="197" t="s">
        <v>26</v>
      </c>
      <c r="R729" s="198">
        <v>278</v>
      </c>
      <c r="S729" s="199">
        <f>Table4[[#This Row],[VALUE]]*Table4[[#This Row],[QTD]]</f>
        <v>556</v>
      </c>
    </row>
    <row r="730" spans="2:19" ht="15" hidden="1" customHeight="1" x14ac:dyDescent="0.2">
      <c r="B730" s="139">
        <v>45669</v>
      </c>
      <c r="C730" s="196">
        <v>45689</v>
      </c>
      <c r="D730" s="107" t="s">
        <v>285</v>
      </c>
      <c r="E730" s="112" t="s">
        <v>557</v>
      </c>
      <c r="F730" s="112" t="s">
        <v>593</v>
      </c>
      <c r="G730" s="107" t="s">
        <v>287</v>
      </c>
      <c r="H730" s="96" t="s">
        <v>288</v>
      </c>
      <c r="I730" s="107" t="s">
        <v>289</v>
      </c>
      <c r="J730" s="107" t="s">
        <v>615</v>
      </c>
      <c r="K730" s="133"/>
      <c r="L730" s="107" t="s">
        <v>222</v>
      </c>
      <c r="M730" s="96">
        <v>7901</v>
      </c>
      <c r="N730" s="96">
        <v>371011</v>
      </c>
      <c r="O730" s="103"/>
      <c r="P730" s="96">
        <v>3</v>
      </c>
      <c r="Q730" s="197" t="s">
        <v>26</v>
      </c>
      <c r="R730" s="198">
        <v>278</v>
      </c>
      <c r="S730" s="199">
        <f>Table4[[#This Row],[VALUE]]*Table4[[#This Row],[QTD]]</f>
        <v>834</v>
      </c>
    </row>
    <row r="731" spans="2:19" ht="15" hidden="1" customHeight="1" x14ac:dyDescent="0.2">
      <c r="B731" s="139">
        <v>45669</v>
      </c>
      <c r="C731" s="196">
        <v>45689</v>
      </c>
      <c r="D731" s="107" t="s">
        <v>285</v>
      </c>
      <c r="E731" s="112" t="s">
        <v>557</v>
      </c>
      <c r="F731" s="112" t="s">
        <v>593</v>
      </c>
      <c r="G731" s="107" t="s">
        <v>287</v>
      </c>
      <c r="H731" s="96" t="s">
        <v>288</v>
      </c>
      <c r="I731" s="107" t="s">
        <v>289</v>
      </c>
      <c r="J731" s="107" t="s">
        <v>616</v>
      </c>
      <c r="K731" s="133"/>
      <c r="L731" s="107" t="s">
        <v>222</v>
      </c>
      <c r="M731" s="96">
        <v>7901</v>
      </c>
      <c r="N731" s="96">
        <v>371011</v>
      </c>
      <c r="O731" s="103"/>
      <c r="P731" s="96">
        <v>3</v>
      </c>
      <c r="Q731" s="197" t="s">
        <v>26</v>
      </c>
      <c r="R731" s="198">
        <v>278</v>
      </c>
      <c r="S731" s="199">
        <f>Table4[[#This Row],[VALUE]]*Table4[[#This Row],[QTD]]</f>
        <v>834</v>
      </c>
    </row>
    <row r="732" spans="2:19" ht="15" hidden="1" customHeight="1" x14ac:dyDescent="0.2">
      <c r="B732" s="140">
        <v>45669</v>
      </c>
      <c r="C732" s="200">
        <v>45689</v>
      </c>
      <c r="D732" s="201" t="s">
        <v>285</v>
      </c>
      <c r="E732" s="213" t="s">
        <v>557</v>
      </c>
      <c r="F732" s="213" t="s">
        <v>593</v>
      </c>
      <c r="G732" s="201" t="s">
        <v>287</v>
      </c>
      <c r="H732" s="109" t="s">
        <v>288</v>
      </c>
      <c r="I732" s="201" t="s">
        <v>289</v>
      </c>
      <c r="J732" s="201" t="s">
        <v>554</v>
      </c>
      <c r="K732" s="135"/>
      <c r="L732" s="201" t="s">
        <v>222</v>
      </c>
      <c r="M732" s="109">
        <v>7901</v>
      </c>
      <c r="N732" s="109">
        <v>371011</v>
      </c>
      <c r="O732" s="136"/>
      <c r="P732" s="109">
        <v>3</v>
      </c>
      <c r="Q732" s="202" t="s">
        <v>26</v>
      </c>
      <c r="R732" s="203">
        <v>278</v>
      </c>
      <c r="S732" s="204">
        <f>Table4[[#This Row],[VALUE]]*Table4[[#This Row],[QTD]]</f>
        <v>834</v>
      </c>
    </row>
    <row r="733" spans="2:19" ht="15" hidden="1" customHeight="1" x14ac:dyDescent="0.2">
      <c r="B733" s="138">
        <v>45668</v>
      </c>
      <c r="C733" s="190">
        <v>45689</v>
      </c>
      <c r="D733" s="191" t="s">
        <v>285</v>
      </c>
      <c r="E733" s="212" t="s">
        <v>52</v>
      </c>
      <c r="F733" s="212" t="s">
        <v>600</v>
      </c>
      <c r="G733" s="191" t="s">
        <v>287</v>
      </c>
      <c r="H733" s="192" t="s">
        <v>288</v>
      </c>
      <c r="I733" s="191" t="s">
        <v>289</v>
      </c>
      <c r="J733" s="191" t="s">
        <v>560</v>
      </c>
      <c r="K733" s="131"/>
      <c r="L733" s="191" t="s">
        <v>222</v>
      </c>
      <c r="M733" s="192">
        <v>7901</v>
      </c>
      <c r="N733" s="192">
        <v>371011</v>
      </c>
      <c r="O733" s="137"/>
      <c r="P733" s="192">
        <v>2</v>
      </c>
      <c r="Q733" s="193" t="s">
        <v>26</v>
      </c>
      <c r="R733" s="194">
        <v>127</v>
      </c>
      <c r="S733" s="195">
        <f>Table4[[#This Row],[VALUE]]*Table4[[#This Row],[QTD]]</f>
        <v>254</v>
      </c>
    </row>
    <row r="734" spans="2:19" ht="15" hidden="1" customHeight="1" x14ac:dyDescent="0.2">
      <c r="B734" s="139">
        <v>45668</v>
      </c>
      <c r="C734" s="196">
        <v>45689</v>
      </c>
      <c r="D734" s="107" t="s">
        <v>285</v>
      </c>
      <c r="E734" s="112" t="s">
        <v>52</v>
      </c>
      <c r="F734" s="112" t="s">
        <v>600</v>
      </c>
      <c r="G734" s="107" t="s">
        <v>287</v>
      </c>
      <c r="H734" s="96" t="s">
        <v>288</v>
      </c>
      <c r="I734" s="107" t="s">
        <v>289</v>
      </c>
      <c r="J734" s="107" t="s">
        <v>595</v>
      </c>
      <c r="K734" s="133"/>
      <c r="L734" s="107" t="s">
        <v>222</v>
      </c>
      <c r="M734" s="96">
        <v>7901</v>
      </c>
      <c r="N734" s="96">
        <v>371011</v>
      </c>
      <c r="O734" s="103"/>
      <c r="P734" s="96">
        <v>2</v>
      </c>
      <c r="Q734" s="197" t="s">
        <v>26</v>
      </c>
      <c r="R734" s="198">
        <v>127</v>
      </c>
      <c r="S734" s="199">
        <f>Table4[[#This Row],[VALUE]]*Table4[[#This Row],[QTD]]</f>
        <v>254</v>
      </c>
    </row>
    <row r="735" spans="2:19" ht="15" hidden="1" customHeight="1" x14ac:dyDescent="0.2">
      <c r="B735" s="132"/>
      <c r="C735" s="196">
        <v>45689</v>
      </c>
      <c r="D735" s="107" t="s">
        <v>285</v>
      </c>
      <c r="E735" s="112" t="s">
        <v>52</v>
      </c>
      <c r="F735" s="112" t="s">
        <v>600</v>
      </c>
      <c r="G735" s="107" t="s">
        <v>287</v>
      </c>
      <c r="H735" s="96" t="s">
        <v>288</v>
      </c>
      <c r="I735" s="107" t="s">
        <v>289</v>
      </c>
      <c r="J735" s="107" t="s">
        <v>453</v>
      </c>
      <c r="K735" s="133"/>
      <c r="L735" s="107" t="s">
        <v>222</v>
      </c>
      <c r="M735" s="96">
        <v>7901</v>
      </c>
      <c r="N735" s="96">
        <v>371011</v>
      </c>
      <c r="O735" s="103"/>
      <c r="P735" s="96">
        <v>1</v>
      </c>
      <c r="Q735" s="197" t="s">
        <v>26</v>
      </c>
      <c r="R735" s="198">
        <v>278</v>
      </c>
      <c r="S735" s="199">
        <f>Table4[[#This Row],[VALUE]]*Table4[[#This Row],[QTD]]</f>
        <v>278</v>
      </c>
    </row>
    <row r="736" spans="2:19" ht="15" hidden="1" customHeight="1" x14ac:dyDescent="0.2">
      <c r="B736" s="134"/>
      <c r="C736" s="200">
        <v>45689</v>
      </c>
      <c r="D736" s="201" t="s">
        <v>285</v>
      </c>
      <c r="E736" s="213" t="s">
        <v>52</v>
      </c>
      <c r="F736" s="213" t="s">
        <v>600</v>
      </c>
      <c r="G736" s="201" t="s">
        <v>287</v>
      </c>
      <c r="H736" s="109" t="s">
        <v>288</v>
      </c>
      <c r="I736" s="201" t="s">
        <v>289</v>
      </c>
      <c r="J736" s="201" t="s">
        <v>617</v>
      </c>
      <c r="K736" s="135"/>
      <c r="L736" s="201" t="s">
        <v>222</v>
      </c>
      <c r="M736" s="109">
        <v>7901</v>
      </c>
      <c r="N736" s="109">
        <v>371011</v>
      </c>
      <c r="O736" s="136"/>
      <c r="P736" s="109">
        <v>1</v>
      </c>
      <c r="Q736" s="202" t="s">
        <v>26</v>
      </c>
      <c r="R736" s="203">
        <v>278</v>
      </c>
      <c r="S736" s="204">
        <f>Table4[[#This Row],[VALUE]]*Table4[[#This Row],[QTD]]</f>
        <v>278</v>
      </c>
    </row>
    <row r="737" spans="2:19" ht="15" hidden="1" customHeight="1" x14ac:dyDescent="0.2">
      <c r="B737" s="130"/>
      <c r="C737" s="190">
        <v>45689</v>
      </c>
      <c r="D737" s="191" t="s">
        <v>285</v>
      </c>
      <c r="E737" s="212" t="s">
        <v>19</v>
      </c>
      <c r="F737" s="212" t="s">
        <v>600</v>
      </c>
      <c r="G737" s="191" t="s">
        <v>287</v>
      </c>
      <c r="H737" s="192" t="s">
        <v>288</v>
      </c>
      <c r="I737" s="191" t="s">
        <v>289</v>
      </c>
      <c r="J737" s="191" t="s">
        <v>453</v>
      </c>
      <c r="K737" s="131"/>
      <c r="L737" s="191" t="s">
        <v>222</v>
      </c>
      <c r="M737" s="192">
        <v>7901</v>
      </c>
      <c r="N737" s="192">
        <v>371011</v>
      </c>
      <c r="O737" s="137"/>
      <c r="P737" s="192">
        <v>2</v>
      </c>
      <c r="Q737" s="193" t="s">
        <v>26</v>
      </c>
      <c r="R737" s="194">
        <v>278</v>
      </c>
      <c r="S737" s="195">
        <f>Table4[[#This Row],[VALUE]]*Table4[[#This Row],[QTD]]</f>
        <v>556</v>
      </c>
    </row>
    <row r="738" spans="2:19" ht="15" hidden="1" customHeight="1" x14ac:dyDescent="0.2">
      <c r="B738" s="132"/>
      <c r="C738" s="196">
        <v>45689</v>
      </c>
      <c r="D738" s="107" t="s">
        <v>285</v>
      </c>
      <c r="E738" s="112" t="s">
        <v>19</v>
      </c>
      <c r="F738" s="112" t="s">
        <v>600</v>
      </c>
      <c r="G738" s="107" t="s">
        <v>287</v>
      </c>
      <c r="H738" s="96" t="s">
        <v>288</v>
      </c>
      <c r="I738" s="107" t="s">
        <v>289</v>
      </c>
      <c r="J738" s="107" t="s">
        <v>453</v>
      </c>
      <c r="K738" s="133"/>
      <c r="L738" s="107" t="s">
        <v>222</v>
      </c>
      <c r="M738" s="96">
        <v>7901</v>
      </c>
      <c r="N738" s="96">
        <v>371011</v>
      </c>
      <c r="O738" s="103"/>
      <c r="P738" s="96">
        <v>2</v>
      </c>
      <c r="Q738" s="197" t="s">
        <v>26</v>
      </c>
      <c r="R738" s="198">
        <v>278</v>
      </c>
      <c r="S738" s="199">
        <f>Table4[[#This Row],[VALUE]]*Table4[[#This Row],[QTD]]</f>
        <v>556</v>
      </c>
    </row>
    <row r="739" spans="2:19" ht="15" hidden="1" customHeight="1" x14ac:dyDescent="0.2">
      <c r="B739" s="134"/>
      <c r="C739" s="200">
        <v>45689</v>
      </c>
      <c r="D739" s="201" t="s">
        <v>285</v>
      </c>
      <c r="E739" s="213" t="s">
        <v>19</v>
      </c>
      <c r="F739" s="213" t="s">
        <v>600</v>
      </c>
      <c r="G739" s="201" t="s">
        <v>287</v>
      </c>
      <c r="H739" s="109" t="s">
        <v>288</v>
      </c>
      <c r="I739" s="201" t="s">
        <v>289</v>
      </c>
      <c r="J739" s="201" t="s">
        <v>560</v>
      </c>
      <c r="K739" s="135"/>
      <c r="L739" s="201" t="s">
        <v>222</v>
      </c>
      <c r="M739" s="109">
        <v>7901</v>
      </c>
      <c r="N739" s="109">
        <v>371011</v>
      </c>
      <c r="O739" s="136"/>
      <c r="P739" s="109">
        <v>4</v>
      </c>
      <c r="Q739" s="202" t="s">
        <v>26</v>
      </c>
      <c r="R739" s="203">
        <v>127</v>
      </c>
      <c r="S739" s="204">
        <f>Table4[[#This Row],[VALUE]]*Table4[[#This Row],[QTD]]</f>
        <v>508</v>
      </c>
    </row>
    <row r="740" spans="2:19" ht="15" hidden="1" customHeight="1" x14ac:dyDescent="0.2">
      <c r="B740" s="144">
        <v>45586</v>
      </c>
      <c r="C740" s="205">
        <v>45689</v>
      </c>
      <c r="D740" s="206" t="s">
        <v>285</v>
      </c>
      <c r="E740" s="208" t="s">
        <v>464</v>
      </c>
      <c r="F740" s="208" t="s">
        <v>593</v>
      </c>
      <c r="G740" s="206" t="s">
        <v>287</v>
      </c>
      <c r="H740" s="207" t="s">
        <v>288</v>
      </c>
      <c r="I740" s="206" t="s">
        <v>289</v>
      </c>
      <c r="J740" s="206" t="s">
        <v>618</v>
      </c>
      <c r="K740" s="142"/>
      <c r="L740" s="206" t="s">
        <v>222</v>
      </c>
      <c r="M740" s="207">
        <v>7901</v>
      </c>
      <c r="N740" s="207">
        <v>371011</v>
      </c>
      <c r="O740" s="143"/>
      <c r="P740" s="207">
        <v>3</v>
      </c>
      <c r="Q740" s="209" t="s">
        <v>26</v>
      </c>
      <c r="R740" s="210">
        <v>377</v>
      </c>
      <c r="S740" s="211">
        <f>Table4[[#This Row],[VALUE]]*Table4[[#This Row],[QTD]]</f>
        <v>1131</v>
      </c>
    </row>
    <row r="741" spans="2:19" ht="15" hidden="1" customHeight="1" x14ac:dyDescent="0.2">
      <c r="B741" s="138">
        <v>45999</v>
      </c>
      <c r="C741" s="190">
        <v>45689</v>
      </c>
      <c r="D741" s="191" t="s">
        <v>285</v>
      </c>
      <c r="E741" s="212" t="s">
        <v>464</v>
      </c>
      <c r="F741" s="212" t="s">
        <v>593</v>
      </c>
      <c r="G741" s="191" t="s">
        <v>287</v>
      </c>
      <c r="H741" s="192" t="s">
        <v>288</v>
      </c>
      <c r="I741" s="191" t="s">
        <v>289</v>
      </c>
      <c r="J741" s="191" t="s">
        <v>618</v>
      </c>
      <c r="K741" s="131"/>
      <c r="L741" s="191" t="s">
        <v>222</v>
      </c>
      <c r="M741" s="192">
        <v>7901</v>
      </c>
      <c r="N741" s="192">
        <v>371011</v>
      </c>
      <c r="O741" s="137"/>
      <c r="P741" s="192">
        <v>2</v>
      </c>
      <c r="Q741" s="193" t="s">
        <v>26</v>
      </c>
      <c r="R741" s="194">
        <v>172.8</v>
      </c>
      <c r="S741" s="195">
        <f>Table4[[#This Row],[VALUE]]*Table4[[#This Row],[QTD]]</f>
        <v>345.6</v>
      </c>
    </row>
    <row r="742" spans="2:19" ht="15" hidden="1" customHeight="1" x14ac:dyDescent="0.2">
      <c r="B742" s="139">
        <v>45999</v>
      </c>
      <c r="C742" s="196">
        <v>45689</v>
      </c>
      <c r="D742" s="107" t="s">
        <v>285</v>
      </c>
      <c r="E742" s="112" t="s">
        <v>464</v>
      </c>
      <c r="F742" s="112" t="s">
        <v>593</v>
      </c>
      <c r="G742" s="107" t="s">
        <v>287</v>
      </c>
      <c r="H742" s="96" t="s">
        <v>288</v>
      </c>
      <c r="I742" s="107" t="s">
        <v>289</v>
      </c>
      <c r="J742" s="107" t="s">
        <v>312</v>
      </c>
      <c r="K742" s="133"/>
      <c r="L742" s="107" t="s">
        <v>222</v>
      </c>
      <c r="M742" s="96">
        <v>7901</v>
      </c>
      <c r="N742" s="96">
        <v>371011</v>
      </c>
      <c r="O742" s="103"/>
      <c r="P742" s="96">
        <v>2</v>
      </c>
      <c r="Q742" s="197" t="s">
        <v>26</v>
      </c>
      <c r="R742" s="198">
        <v>14</v>
      </c>
      <c r="S742" s="199">
        <f>Table4[[#This Row],[VALUE]]*Table4[[#This Row],[QTD]]</f>
        <v>28</v>
      </c>
    </row>
    <row r="743" spans="2:19" ht="15" hidden="1" customHeight="1" x14ac:dyDescent="0.2">
      <c r="B743" s="139">
        <v>45999</v>
      </c>
      <c r="C743" s="196">
        <v>45689</v>
      </c>
      <c r="D743" s="107" t="s">
        <v>285</v>
      </c>
      <c r="E743" s="112" t="s">
        <v>464</v>
      </c>
      <c r="F743" s="112" t="s">
        <v>593</v>
      </c>
      <c r="G743" s="107" t="s">
        <v>287</v>
      </c>
      <c r="H743" s="96" t="s">
        <v>288</v>
      </c>
      <c r="I743" s="107" t="s">
        <v>289</v>
      </c>
      <c r="J743" s="107" t="s">
        <v>312</v>
      </c>
      <c r="K743" s="133"/>
      <c r="L743" s="107" t="s">
        <v>222</v>
      </c>
      <c r="M743" s="96">
        <v>7901</v>
      </c>
      <c r="N743" s="96">
        <v>371011</v>
      </c>
      <c r="O743" s="103"/>
      <c r="P743" s="96">
        <v>2</v>
      </c>
      <c r="Q743" s="197" t="s">
        <v>26</v>
      </c>
      <c r="R743" s="198">
        <v>14</v>
      </c>
      <c r="S743" s="199">
        <f>Table4[[#This Row],[VALUE]]*Table4[[#This Row],[QTD]]</f>
        <v>28</v>
      </c>
    </row>
    <row r="744" spans="2:19" ht="15" hidden="1" customHeight="1" x14ac:dyDescent="0.2">
      <c r="B744" s="139">
        <v>45999</v>
      </c>
      <c r="C744" s="196">
        <v>45689</v>
      </c>
      <c r="D744" s="107" t="s">
        <v>285</v>
      </c>
      <c r="E744" s="112" t="s">
        <v>464</v>
      </c>
      <c r="F744" s="112" t="s">
        <v>593</v>
      </c>
      <c r="G744" s="107" t="s">
        <v>287</v>
      </c>
      <c r="H744" s="96" t="s">
        <v>288</v>
      </c>
      <c r="I744" s="107" t="s">
        <v>289</v>
      </c>
      <c r="J744" s="107" t="s">
        <v>608</v>
      </c>
      <c r="K744" s="133"/>
      <c r="L744" s="107" t="s">
        <v>222</v>
      </c>
      <c r="M744" s="96">
        <v>7901</v>
      </c>
      <c r="N744" s="96">
        <v>371011</v>
      </c>
      <c r="O744" s="103"/>
      <c r="P744" s="96">
        <v>20</v>
      </c>
      <c r="Q744" s="197" t="s">
        <v>26</v>
      </c>
      <c r="R744" s="198">
        <v>24</v>
      </c>
      <c r="S744" s="199">
        <f>Table4[[#This Row],[VALUE]]*Table4[[#This Row],[QTD]]</f>
        <v>480</v>
      </c>
    </row>
    <row r="745" spans="2:19" ht="15" hidden="1" customHeight="1" x14ac:dyDescent="0.2">
      <c r="B745" s="139">
        <v>45999</v>
      </c>
      <c r="C745" s="196">
        <v>45689</v>
      </c>
      <c r="D745" s="107" t="s">
        <v>285</v>
      </c>
      <c r="E745" s="112" t="s">
        <v>464</v>
      </c>
      <c r="F745" s="112" t="s">
        <v>593</v>
      </c>
      <c r="G745" s="107" t="s">
        <v>287</v>
      </c>
      <c r="H745" s="96" t="s">
        <v>288</v>
      </c>
      <c r="I745" s="107" t="s">
        <v>289</v>
      </c>
      <c r="J745" s="107" t="s">
        <v>619</v>
      </c>
      <c r="K745" s="133"/>
      <c r="L745" s="107" t="s">
        <v>222</v>
      </c>
      <c r="M745" s="96">
        <v>7901</v>
      </c>
      <c r="N745" s="96">
        <v>371011</v>
      </c>
      <c r="O745" s="103"/>
      <c r="P745" s="96">
        <v>2</v>
      </c>
      <c r="Q745" s="197" t="s">
        <v>26</v>
      </c>
      <c r="R745" s="198">
        <v>325</v>
      </c>
      <c r="S745" s="199">
        <f>Table4[[#This Row],[VALUE]]*Table4[[#This Row],[QTD]]</f>
        <v>650</v>
      </c>
    </row>
    <row r="746" spans="2:19" ht="15" hidden="1" customHeight="1" x14ac:dyDescent="0.2">
      <c r="B746" s="140">
        <v>45999</v>
      </c>
      <c r="C746" s="200">
        <v>45689</v>
      </c>
      <c r="D746" s="201" t="s">
        <v>285</v>
      </c>
      <c r="E746" s="213" t="s">
        <v>464</v>
      </c>
      <c r="F746" s="213" t="s">
        <v>593</v>
      </c>
      <c r="G746" s="201" t="s">
        <v>287</v>
      </c>
      <c r="H746" s="109" t="s">
        <v>288</v>
      </c>
      <c r="I746" s="201" t="s">
        <v>289</v>
      </c>
      <c r="J746" s="201" t="s">
        <v>620</v>
      </c>
      <c r="K746" s="135"/>
      <c r="L746" s="201" t="s">
        <v>222</v>
      </c>
      <c r="M746" s="109">
        <v>7901</v>
      </c>
      <c r="N746" s="109">
        <v>371011</v>
      </c>
      <c r="O746" s="136"/>
      <c r="P746" s="109">
        <v>4</v>
      </c>
      <c r="Q746" s="202" t="s">
        <v>26</v>
      </c>
      <c r="R746" s="203">
        <v>278</v>
      </c>
      <c r="S746" s="204">
        <f>Table4[[#This Row],[VALUE]]*Table4[[#This Row],[QTD]]</f>
        <v>1112</v>
      </c>
    </row>
    <row r="747" spans="2:19" ht="15" hidden="1" customHeight="1" x14ac:dyDescent="0.2">
      <c r="B747" s="144">
        <v>45634</v>
      </c>
      <c r="C747" s="205">
        <v>45689</v>
      </c>
      <c r="D747" s="206" t="s">
        <v>285</v>
      </c>
      <c r="E747" s="208" t="s">
        <v>557</v>
      </c>
      <c r="F747" s="208" t="s">
        <v>593</v>
      </c>
      <c r="G747" s="206" t="s">
        <v>287</v>
      </c>
      <c r="H747" s="207" t="s">
        <v>288</v>
      </c>
      <c r="I747" s="206" t="s">
        <v>289</v>
      </c>
      <c r="J747" s="206" t="s">
        <v>618</v>
      </c>
      <c r="K747" s="142"/>
      <c r="L747" s="206" t="s">
        <v>222</v>
      </c>
      <c r="M747" s="207">
        <v>7901</v>
      </c>
      <c r="N747" s="207">
        <v>371011</v>
      </c>
      <c r="O747" s="143"/>
      <c r="P747" s="207">
        <v>2</v>
      </c>
      <c r="Q747" s="209" t="s">
        <v>26</v>
      </c>
      <c r="R747" s="210">
        <v>66.150000000000006</v>
      </c>
      <c r="S747" s="211">
        <f>Table4[[#This Row],[VALUE]]*Table4[[#This Row],[QTD]]</f>
        <v>132.30000000000001</v>
      </c>
    </row>
    <row r="748" spans="2:19" ht="15" hidden="1" customHeight="1" x14ac:dyDescent="0.2">
      <c r="B748" s="1"/>
      <c r="C748" s="218">
        <v>45689</v>
      </c>
      <c r="D748" s="191" t="s">
        <v>285</v>
      </c>
      <c r="E748" s="212" t="s">
        <v>52</v>
      </c>
      <c r="F748" s="212" t="s">
        <v>600</v>
      </c>
      <c r="G748" s="191" t="s">
        <v>287</v>
      </c>
      <c r="H748" s="192" t="s">
        <v>288</v>
      </c>
      <c r="I748" s="191" t="s">
        <v>289</v>
      </c>
      <c r="J748" s="191" t="s">
        <v>621</v>
      </c>
      <c r="K748" s="131"/>
      <c r="L748" s="191" t="s">
        <v>222</v>
      </c>
      <c r="M748" s="192">
        <v>7901</v>
      </c>
      <c r="N748" s="192">
        <v>371011</v>
      </c>
      <c r="O748" s="137"/>
      <c r="P748" s="192">
        <v>5</v>
      </c>
      <c r="Q748" s="193" t="s">
        <v>26</v>
      </c>
      <c r="R748" s="194">
        <v>11.5</v>
      </c>
      <c r="S748" s="195">
        <f>Table4[[#This Row],[VALUE]]*Table4[[#This Row],[QTD]]</f>
        <v>57.5</v>
      </c>
    </row>
    <row r="749" spans="2:19" ht="15" hidden="1" customHeight="1" x14ac:dyDescent="0.2">
      <c r="B749" s="1"/>
      <c r="C749" s="219">
        <v>45689</v>
      </c>
      <c r="D749" s="107" t="s">
        <v>285</v>
      </c>
      <c r="E749" s="112" t="s">
        <v>52</v>
      </c>
      <c r="F749" s="112" t="s">
        <v>600</v>
      </c>
      <c r="G749" s="107" t="s">
        <v>287</v>
      </c>
      <c r="H749" s="96" t="s">
        <v>288</v>
      </c>
      <c r="I749" s="107" t="s">
        <v>289</v>
      </c>
      <c r="J749" s="107" t="s">
        <v>622</v>
      </c>
      <c r="K749" s="133"/>
      <c r="L749" s="107" t="s">
        <v>222</v>
      </c>
      <c r="M749" s="96">
        <v>7901</v>
      </c>
      <c r="N749" s="96">
        <v>371011</v>
      </c>
      <c r="O749" s="103"/>
      <c r="P749" s="96">
        <v>5</v>
      </c>
      <c r="Q749" s="197" t="s">
        <v>26</v>
      </c>
      <c r="R749" s="198">
        <v>7.2</v>
      </c>
      <c r="S749" s="199">
        <f>Table4[[#This Row],[VALUE]]*Table4[[#This Row],[QTD]]</f>
        <v>36</v>
      </c>
    </row>
    <row r="750" spans="2:19" ht="15" hidden="1" customHeight="1" x14ac:dyDescent="0.2">
      <c r="B750" s="1"/>
      <c r="C750" s="219">
        <v>45689</v>
      </c>
      <c r="D750" s="107" t="s">
        <v>285</v>
      </c>
      <c r="E750" s="112" t="s">
        <v>52</v>
      </c>
      <c r="F750" s="112" t="s">
        <v>600</v>
      </c>
      <c r="G750" s="107" t="s">
        <v>287</v>
      </c>
      <c r="H750" s="96" t="s">
        <v>288</v>
      </c>
      <c r="I750" s="107" t="s">
        <v>289</v>
      </c>
      <c r="J750" s="107" t="s">
        <v>622</v>
      </c>
      <c r="K750" s="133"/>
      <c r="L750" s="107" t="s">
        <v>222</v>
      </c>
      <c r="M750" s="96">
        <v>7901</v>
      </c>
      <c r="N750" s="96">
        <v>371011</v>
      </c>
      <c r="O750" s="103"/>
      <c r="P750" s="96">
        <v>5</v>
      </c>
      <c r="Q750" s="197" t="s">
        <v>26</v>
      </c>
      <c r="R750" s="198">
        <v>7.2</v>
      </c>
      <c r="S750" s="199">
        <f>Table4[[#This Row],[VALUE]]*Table4[[#This Row],[QTD]]</f>
        <v>36</v>
      </c>
    </row>
    <row r="751" spans="2:19" ht="15" hidden="1" customHeight="1" x14ac:dyDescent="0.2">
      <c r="B751" s="1"/>
      <c r="C751" s="219">
        <v>45689</v>
      </c>
      <c r="D751" s="107" t="s">
        <v>285</v>
      </c>
      <c r="E751" s="112" t="s">
        <v>52</v>
      </c>
      <c r="F751" s="112" t="s">
        <v>600</v>
      </c>
      <c r="G751" s="107" t="s">
        <v>287</v>
      </c>
      <c r="H751" s="96" t="s">
        <v>288</v>
      </c>
      <c r="I751" s="107" t="s">
        <v>289</v>
      </c>
      <c r="J751" s="107" t="s">
        <v>622</v>
      </c>
      <c r="K751" s="133"/>
      <c r="L751" s="107" t="s">
        <v>222</v>
      </c>
      <c r="M751" s="96">
        <v>7901</v>
      </c>
      <c r="N751" s="96">
        <v>371011</v>
      </c>
      <c r="O751" s="103"/>
      <c r="P751" s="96">
        <v>5</v>
      </c>
      <c r="Q751" s="197" t="s">
        <v>26</v>
      </c>
      <c r="R751" s="198">
        <v>7.2</v>
      </c>
      <c r="S751" s="199">
        <f>Table4[[#This Row],[VALUE]]*Table4[[#This Row],[QTD]]</f>
        <v>36</v>
      </c>
    </row>
    <row r="752" spans="2:19" ht="15" hidden="1" customHeight="1" x14ac:dyDescent="0.2">
      <c r="B752" s="1"/>
      <c r="C752" s="219">
        <v>45689</v>
      </c>
      <c r="D752" s="107" t="s">
        <v>285</v>
      </c>
      <c r="E752" s="112" t="s">
        <v>52</v>
      </c>
      <c r="F752" s="112" t="s">
        <v>600</v>
      </c>
      <c r="G752" s="107" t="s">
        <v>287</v>
      </c>
      <c r="H752" s="96" t="s">
        <v>288</v>
      </c>
      <c r="I752" s="107" t="s">
        <v>289</v>
      </c>
      <c r="J752" s="107" t="s">
        <v>623</v>
      </c>
      <c r="K752" s="133"/>
      <c r="L752" s="107" t="s">
        <v>222</v>
      </c>
      <c r="M752" s="96">
        <v>7901</v>
      </c>
      <c r="N752" s="96">
        <v>371011</v>
      </c>
      <c r="O752" s="103"/>
      <c r="P752" s="96">
        <v>5</v>
      </c>
      <c r="Q752" s="197" t="s">
        <v>26</v>
      </c>
      <c r="R752" s="198">
        <v>11.5</v>
      </c>
      <c r="S752" s="199">
        <f>Table4[[#This Row],[VALUE]]*Table4[[#This Row],[QTD]]</f>
        <v>57.5</v>
      </c>
    </row>
    <row r="753" spans="2:19" ht="15" hidden="1" customHeight="1" x14ac:dyDescent="0.2">
      <c r="B753" s="1"/>
      <c r="C753" s="219">
        <v>45689</v>
      </c>
      <c r="D753" s="107" t="s">
        <v>285</v>
      </c>
      <c r="E753" s="112" t="s">
        <v>52</v>
      </c>
      <c r="F753" s="112" t="s">
        <v>600</v>
      </c>
      <c r="G753" s="107" t="s">
        <v>287</v>
      </c>
      <c r="H753" s="96" t="s">
        <v>288</v>
      </c>
      <c r="I753" s="107" t="s">
        <v>289</v>
      </c>
      <c r="J753" s="107" t="s">
        <v>608</v>
      </c>
      <c r="K753" s="133"/>
      <c r="L753" s="107" t="s">
        <v>222</v>
      </c>
      <c r="M753" s="96">
        <v>7901</v>
      </c>
      <c r="N753" s="96">
        <v>371011</v>
      </c>
      <c r="O753" s="103"/>
      <c r="P753" s="96">
        <v>5</v>
      </c>
      <c r="Q753" s="197" t="s">
        <v>26</v>
      </c>
      <c r="R753" s="198">
        <v>18</v>
      </c>
      <c r="S753" s="199">
        <f>Table4[[#This Row],[VALUE]]*Table4[[#This Row],[QTD]]</f>
        <v>90</v>
      </c>
    </row>
    <row r="754" spans="2:19" ht="15" hidden="1" customHeight="1" x14ac:dyDescent="0.2">
      <c r="B754" s="1"/>
      <c r="C754" s="219">
        <v>45689</v>
      </c>
      <c r="D754" s="107" t="s">
        <v>285</v>
      </c>
      <c r="E754" s="112" t="s">
        <v>52</v>
      </c>
      <c r="F754" s="112" t="s">
        <v>600</v>
      </c>
      <c r="G754" s="107" t="s">
        <v>287</v>
      </c>
      <c r="H754" s="96" t="s">
        <v>288</v>
      </c>
      <c r="I754" s="107" t="s">
        <v>289</v>
      </c>
      <c r="J754" s="107" t="s">
        <v>624</v>
      </c>
      <c r="K754" s="133"/>
      <c r="L754" s="107" t="s">
        <v>222</v>
      </c>
      <c r="M754" s="96">
        <v>7901</v>
      </c>
      <c r="N754" s="96">
        <v>371011</v>
      </c>
      <c r="O754" s="103"/>
      <c r="P754" s="96">
        <v>10</v>
      </c>
      <c r="Q754" s="197" t="s">
        <v>26</v>
      </c>
      <c r="R754" s="198">
        <v>87.9</v>
      </c>
      <c r="S754" s="199">
        <f>Table4[[#This Row],[VALUE]]*Table4[[#This Row],[QTD]]</f>
        <v>879</v>
      </c>
    </row>
    <row r="755" spans="2:19" ht="15" hidden="1" customHeight="1" x14ac:dyDescent="0.2">
      <c r="B755" s="130"/>
      <c r="C755" s="190">
        <v>45689</v>
      </c>
      <c r="D755" s="191" t="s">
        <v>285</v>
      </c>
      <c r="E755" s="212" t="s">
        <v>557</v>
      </c>
      <c r="F755" s="212" t="s">
        <v>593</v>
      </c>
      <c r="G755" s="191" t="s">
        <v>287</v>
      </c>
      <c r="H755" s="192" t="s">
        <v>288</v>
      </c>
      <c r="I755" s="191" t="s">
        <v>289</v>
      </c>
      <c r="J755" s="191" t="s">
        <v>625</v>
      </c>
      <c r="K755" s="131"/>
      <c r="L755" s="191" t="s">
        <v>222</v>
      </c>
      <c r="M755" s="192">
        <v>7901</v>
      </c>
      <c r="N755" s="192">
        <v>371011</v>
      </c>
      <c r="O755" s="137"/>
      <c r="P755" s="192">
        <v>3</v>
      </c>
      <c r="Q755" s="193" t="s">
        <v>26</v>
      </c>
      <c r="R755" s="194">
        <v>278</v>
      </c>
      <c r="S755" s="195">
        <f>Table4[[#This Row],[VALUE]]*Table4[[#This Row],[QTD]]</f>
        <v>834</v>
      </c>
    </row>
    <row r="756" spans="2:19" ht="15" hidden="1" customHeight="1" x14ac:dyDescent="0.2">
      <c r="B756" s="132"/>
      <c r="C756" s="196">
        <v>45689</v>
      </c>
      <c r="D756" s="107" t="s">
        <v>285</v>
      </c>
      <c r="E756" s="112" t="s">
        <v>557</v>
      </c>
      <c r="F756" s="112" t="s">
        <v>593</v>
      </c>
      <c r="G756" s="107" t="s">
        <v>287</v>
      </c>
      <c r="H756" s="96" t="s">
        <v>288</v>
      </c>
      <c r="I756" s="107" t="s">
        <v>289</v>
      </c>
      <c r="J756" s="107" t="s">
        <v>462</v>
      </c>
      <c r="K756" s="133"/>
      <c r="L756" s="107" t="s">
        <v>222</v>
      </c>
      <c r="M756" s="96">
        <v>7901</v>
      </c>
      <c r="N756" s="96">
        <v>371011</v>
      </c>
      <c r="O756" s="103"/>
      <c r="P756" s="96">
        <v>1</v>
      </c>
      <c r="Q756" s="197" t="s">
        <v>26</v>
      </c>
      <c r="R756" s="198">
        <v>278</v>
      </c>
      <c r="S756" s="199">
        <f>Table4[[#This Row],[VALUE]]*Table4[[#This Row],[QTD]]</f>
        <v>278</v>
      </c>
    </row>
    <row r="757" spans="2:19" ht="15" hidden="1" customHeight="1" x14ac:dyDescent="0.2">
      <c r="B757" s="132"/>
      <c r="C757" s="196">
        <v>45689</v>
      </c>
      <c r="D757" s="107" t="s">
        <v>285</v>
      </c>
      <c r="E757" s="112" t="s">
        <v>557</v>
      </c>
      <c r="F757" s="112" t="s">
        <v>593</v>
      </c>
      <c r="G757" s="107" t="s">
        <v>287</v>
      </c>
      <c r="H757" s="96" t="s">
        <v>288</v>
      </c>
      <c r="I757" s="107" t="s">
        <v>289</v>
      </c>
      <c r="J757" s="107" t="s">
        <v>626</v>
      </c>
      <c r="K757" s="133"/>
      <c r="L757" s="107" t="s">
        <v>222</v>
      </c>
      <c r="M757" s="96">
        <v>7901</v>
      </c>
      <c r="N757" s="96">
        <v>371011</v>
      </c>
      <c r="O757" s="103"/>
      <c r="P757" s="96">
        <v>1</v>
      </c>
      <c r="Q757" s="197" t="s">
        <v>26</v>
      </c>
      <c r="R757" s="198">
        <v>238</v>
      </c>
      <c r="S757" s="199">
        <f>Table4[[#This Row],[VALUE]]*Table4[[#This Row],[QTD]]</f>
        <v>238</v>
      </c>
    </row>
    <row r="758" spans="2:19" ht="15" hidden="1" customHeight="1" x14ac:dyDescent="0.2">
      <c r="B758" s="132"/>
      <c r="C758" s="196">
        <v>45689</v>
      </c>
      <c r="D758" s="107" t="s">
        <v>285</v>
      </c>
      <c r="E758" s="112" t="s">
        <v>557</v>
      </c>
      <c r="F758" s="112" t="s">
        <v>593</v>
      </c>
      <c r="G758" s="107" t="s">
        <v>287</v>
      </c>
      <c r="H758" s="96" t="s">
        <v>288</v>
      </c>
      <c r="I758" s="107" t="s">
        <v>289</v>
      </c>
      <c r="J758" s="107" t="s">
        <v>615</v>
      </c>
      <c r="K758" s="133"/>
      <c r="L758" s="107" t="s">
        <v>222</v>
      </c>
      <c r="M758" s="96">
        <v>7901</v>
      </c>
      <c r="N758" s="96">
        <v>371011</v>
      </c>
      <c r="O758" s="103"/>
      <c r="P758" s="96">
        <v>1</v>
      </c>
      <c r="Q758" s="197" t="s">
        <v>26</v>
      </c>
      <c r="R758" s="198">
        <v>278</v>
      </c>
      <c r="S758" s="199">
        <f>Table4[[#This Row],[VALUE]]*Table4[[#This Row],[QTD]]</f>
        <v>278</v>
      </c>
    </row>
    <row r="759" spans="2:19" ht="15" hidden="1" customHeight="1" x14ac:dyDescent="0.2">
      <c r="B759" s="132"/>
      <c r="C759" s="196">
        <v>45689</v>
      </c>
      <c r="D759" s="107" t="s">
        <v>285</v>
      </c>
      <c r="E759" s="112" t="s">
        <v>557</v>
      </c>
      <c r="F759" s="112" t="s">
        <v>593</v>
      </c>
      <c r="G759" s="107" t="s">
        <v>287</v>
      </c>
      <c r="H759" s="96" t="s">
        <v>288</v>
      </c>
      <c r="I759" s="107" t="s">
        <v>289</v>
      </c>
      <c r="J759" s="107" t="s">
        <v>615</v>
      </c>
      <c r="K759" s="133"/>
      <c r="L759" s="107" t="s">
        <v>222</v>
      </c>
      <c r="M759" s="96">
        <v>7901</v>
      </c>
      <c r="N759" s="96">
        <v>371011</v>
      </c>
      <c r="O759" s="103"/>
      <c r="P759" s="96">
        <v>1</v>
      </c>
      <c r="Q759" s="197" t="s">
        <v>26</v>
      </c>
      <c r="R759" s="198">
        <v>278</v>
      </c>
      <c r="S759" s="199">
        <f>Table4[[#This Row],[VALUE]]*Table4[[#This Row],[QTD]]</f>
        <v>278</v>
      </c>
    </row>
    <row r="760" spans="2:19" ht="15" hidden="1" customHeight="1" x14ac:dyDescent="0.2">
      <c r="B760" s="132"/>
      <c r="C760" s="196">
        <v>45689</v>
      </c>
      <c r="D760" s="107" t="s">
        <v>285</v>
      </c>
      <c r="E760" s="112" t="s">
        <v>557</v>
      </c>
      <c r="F760" s="112" t="s">
        <v>593</v>
      </c>
      <c r="G760" s="107" t="s">
        <v>287</v>
      </c>
      <c r="H760" s="96" t="s">
        <v>288</v>
      </c>
      <c r="I760" s="107" t="s">
        <v>289</v>
      </c>
      <c r="J760" s="107" t="s">
        <v>615</v>
      </c>
      <c r="K760" s="133"/>
      <c r="L760" s="107" t="s">
        <v>222</v>
      </c>
      <c r="M760" s="96">
        <v>7901</v>
      </c>
      <c r="N760" s="96">
        <v>371011</v>
      </c>
      <c r="O760" s="103"/>
      <c r="P760" s="96">
        <v>2</v>
      </c>
      <c r="Q760" s="197" t="s">
        <v>26</v>
      </c>
      <c r="R760" s="198">
        <v>278</v>
      </c>
      <c r="S760" s="199">
        <f>Table4[[#This Row],[VALUE]]*Table4[[#This Row],[QTD]]</f>
        <v>556</v>
      </c>
    </row>
    <row r="761" spans="2:19" ht="15" hidden="1" customHeight="1" x14ac:dyDescent="0.2">
      <c r="B761" s="132"/>
      <c r="C761" s="196">
        <v>45689</v>
      </c>
      <c r="D761" s="107" t="s">
        <v>285</v>
      </c>
      <c r="E761" s="112" t="s">
        <v>557</v>
      </c>
      <c r="F761" s="112" t="s">
        <v>593</v>
      </c>
      <c r="G761" s="107" t="s">
        <v>287</v>
      </c>
      <c r="H761" s="96" t="s">
        <v>288</v>
      </c>
      <c r="I761" s="107" t="s">
        <v>289</v>
      </c>
      <c r="J761" s="107" t="s">
        <v>560</v>
      </c>
      <c r="K761" s="133"/>
      <c r="L761" s="107" t="s">
        <v>222</v>
      </c>
      <c r="M761" s="96">
        <v>7901</v>
      </c>
      <c r="N761" s="96">
        <v>371011</v>
      </c>
      <c r="O761" s="103"/>
      <c r="P761" s="96">
        <v>1</v>
      </c>
      <c r="Q761" s="197" t="s">
        <v>26</v>
      </c>
      <c r="R761" s="198">
        <v>68.459999999999994</v>
      </c>
      <c r="S761" s="199">
        <f>Table4[[#This Row],[VALUE]]*Table4[[#This Row],[QTD]]</f>
        <v>68.459999999999994</v>
      </c>
    </row>
    <row r="762" spans="2:19" ht="15" hidden="1" customHeight="1" x14ac:dyDescent="0.2">
      <c r="B762" s="132"/>
      <c r="C762" s="196">
        <v>45689</v>
      </c>
      <c r="D762" s="107" t="s">
        <v>285</v>
      </c>
      <c r="E762" s="112" t="s">
        <v>557</v>
      </c>
      <c r="F762" s="112" t="s">
        <v>593</v>
      </c>
      <c r="G762" s="107" t="s">
        <v>287</v>
      </c>
      <c r="H762" s="96" t="s">
        <v>288</v>
      </c>
      <c r="I762" s="107" t="s">
        <v>289</v>
      </c>
      <c r="J762" s="107" t="s">
        <v>619</v>
      </c>
      <c r="K762" s="133"/>
      <c r="L762" s="107" t="s">
        <v>222</v>
      </c>
      <c r="M762" s="96">
        <v>7901</v>
      </c>
      <c r="N762" s="96">
        <v>371011</v>
      </c>
      <c r="O762" s="103"/>
      <c r="P762" s="96">
        <v>1</v>
      </c>
      <c r="Q762" s="197" t="s">
        <v>26</v>
      </c>
      <c r="R762" s="198">
        <v>325</v>
      </c>
      <c r="S762" s="199">
        <f>Table4[[#This Row],[VALUE]]*Table4[[#This Row],[QTD]]</f>
        <v>325</v>
      </c>
    </row>
    <row r="763" spans="2:19" ht="15" hidden="1" customHeight="1" x14ac:dyDescent="0.2">
      <c r="B763" s="132"/>
      <c r="C763" s="196">
        <v>45689</v>
      </c>
      <c r="D763" s="107" t="s">
        <v>285</v>
      </c>
      <c r="E763" s="112" t="s">
        <v>557</v>
      </c>
      <c r="F763" s="112" t="s">
        <v>593</v>
      </c>
      <c r="G763" s="107" t="s">
        <v>287</v>
      </c>
      <c r="H763" s="96" t="s">
        <v>288</v>
      </c>
      <c r="I763" s="107" t="s">
        <v>289</v>
      </c>
      <c r="J763" s="107" t="s">
        <v>627</v>
      </c>
      <c r="K763" s="133"/>
      <c r="L763" s="107" t="s">
        <v>222</v>
      </c>
      <c r="M763" s="96">
        <v>7901</v>
      </c>
      <c r="N763" s="96">
        <v>371011</v>
      </c>
      <c r="O763" s="103"/>
      <c r="P763" s="96">
        <v>4</v>
      </c>
      <c r="Q763" s="197" t="s">
        <v>26</v>
      </c>
      <c r="R763" s="198">
        <v>13.5</v>
      </c>
      <c r="S763" s="199">
        <f>Table4[[#This Row],[VALUE]]*Table4[[#This Row],[QTD]]</f>
        <v>54</v>
      </c>
    </row>
    <row r="764" spans="2:19" ht="15" hidden="1" customHeight="1" x14ac:dyDescent="0.2">
      <c r="B764" s="132"/>
      <c r="C764" s="196">
        <v>45689</v>
      </c>
      <c r="D764" s="107" t="s">
        <v>285</v>
      </c>
      <c r="E764" s="112" t="s">
        <v>557</v>
      </c>
      <c r="F764" s="112" t="s">
        <v>593</v>
      </c>
      <c r="G764" s="107" t="s">
        <v>287</v>
      </c>
      <c r="H764" s="96" t="s">
        <v>288</v>
      </c>
      <c r="I764" s="107" t="s">
        <v>289</v>
      </c>
      <c r="J764" s="107" t="s">
        <v>628</v>
      </c>
      <c r="K764" s="133"/>
      <c r="L764" s="107" t="s">
        <v>222</v>
      </c>
      <c r="M764" s="96">
        <v>7901</v>
      </c>
      <c r="N764" s="96">
        <v>371011</v>
      </c>
      <c r="O764" s="103"/>
      <c r="P764" s="96">
        <v>1</v>
      </c>
      <c r="Q764" s="197" t="s">
        <v>26</v>
      </c>
      <c r="R764" s="198">
        <v>130</v>
      </c>
      <c r="S764" s="199">
        <f>Table4[[#This Row],[VALUE]]*Table4[[#This Row],[QTD]]</f>
        <v>130</v>
      </c>
    </row>
    <row r="765" spans="2:19" ht="15" hidden="1" customHeight="1" x14ac:dyDescent="0.2">
      <c r="B765" s="134"/>
      <c r="C765" s="200">
        <v>45689</v>
      </c>
      <c r="D765" s="201" t="s">
        <v>285</v>
      </c>
      <c r="E765" s="213" t="s">
        <v>557</v>
      </c>
      <c r="F765" s="213" t="s">
        <v>593</v>
      </c>
      <c r="G765" s="201" t="s">
        <v>287</v>
      </c>
      <c r="H765" s="109" t="s">
        <v>288</v>
      </c>
      <c r="I765" s="201" t="s">
        <v>289</v>
      </c>
      <c r="J765" s="201" t="s">
        <v>446</v>
      </c>
      <c r="K765" s="135"/>
      <c r="L765" s="201" t="s">
        <v>222</v>
      </c>
      <c r="M765" s="109">
        <v>7901</v>
      </c>
      <c r="N765" s="109">
        <v>371011</v>
      </c>
      <c r="O765" s="136"/>
      <c r="P765" s="109">
        <v>2</v>
      </c>
      <c r="Q765" s="202" t="s">
        <v>26</v>
      </c>
      <c r="R765" s="203">
        <v>14</v>
      </c>
      <c r="S765" s="204">
        <f>Table4[[#This Row],[VALUE]]*Table4[[#This Row],[QTD]]</f>
        <v>28</v>
      </c>
    </row>
    <row r="766" spans="2:19" ht="15" hidden="1" customHeight="1" x14ac:dyDescent="0.2">
      <c r="B766" s="130"/>
      <c r="C766" s="190">
        <v>45689</v>
      </c>
      <c r="D766" s="191" t="s">
        <v>285</v>
      </c>
      <c r="E766" s="212" t="s">
        <v>557</v>
      </c>
      <c r="F766" s="212" t="s">
        <v>593</v>
      </c>
      <c r="G766" s="191" t="s">
        <v>287</v>
      </c>
      <c r="H766" s="192" t="s">
        <v>288</v>
      </c>
      <c r="I766" s="191" t="s">
        <v>289</v>
      </c>
      <c r="J766" s="191" t="s">
        <v>621</v>
      </c>
      <c r="K766" s="131"/>
      <c r="L766" s="191" t="s">
        <v>222</v>
      </c>
      <c r="M766" s="192">
        <v>7901</v>
      </c>
      <c r="N766" s="192">
        <v>371011</v>
      </c>
      <c r="O766" s="137"/>
      <c r="P766" s="192">
        <v>8</v>
      </c>
      <c r="Q766" s="193" t="s">
        <v>26</v>
      </c>
      <c r="R766" s="194">
        <v>12.5</v>
      </c>
      <c r="S766" s="195">
        <f>Table4[[#This Row],[VALUE]]*Table4[[#This Row],[QTD]]</f>
        <v>100</v>
      </c>
    </row>
    <row r="767" spans="2:19" ht="15" hidden="1" customHeight="1" x14ac:dyDescent="0.2">
      <c r="B767" s="132"/>
      <c r="C767" s="196">
        <v>45689</v>
      </c>
      <c r="D767" s="107" t="s">
        <v>285</v>
      </c>
      <c r="E767" s="112" t="s">
        <v>557</v>
      </c>
      <c r="F767" s="112" t="s">
        <v>593</v>
      </c>
      <c r="G767" s="107" t="s">
        <v>287</v>
      </c>
      <c r="H767" s="96" t="s">
        <v>288</v>
      </c>
      <c r="I767" s="107" t="s">
        <v>289</v>
      </c>
      <c r="J767" s="107" t="s">
        <v>629</v>
      </c>
      <c r="K767" s="133"/>
      <c r="L767" s="107" t="s">
        <v>222</v>
      </c>
      <c r="M767" s="96">
        <v>7901</v>
      </c>
      <c r="N767" s="96">
        <v>371011</v>
      </c>
      <c r="O767" s="103"/>
      <c r="P767" s="96">
        <v>10</v>
      </c>
      <c r="Q767" s="197" t="s">
        <v>26</v>
      </c>
      <c r="R767" s="198">
        <v>278</v>
      </c>
      <c r="S767" s="199">
        <f>Table4[[#This Row],[VALUE]]*Table4[[#This Row],[QTD]]</f>
        <v>2780</v>
      </c>
    </row>
    <row r="768" spans="2:19" ht="15" hidden="1" customHeight="1" x14ac:dyDescent="0.2">
      <c r="B768" s="134"/>
      <c r="C768" s="200">
        <v>45689</v>
      </c>
      <c r="D768" s="201" t="s">
        <v>285</v>
      </c>
      <c r="E768" s="213" t="s">
        <v>557</v>
      </c>
      <c r="F768" s="213" t="s">
        <v>593</v>
      </c>
      <c r="G768" s="201" t="s">
        <v>287</v>
      </c>
      <c r="H768" s="109" t="s">
        <v>288</v>
      </c>
      <c r="I768" s="201" t="s">
        <v>289</v>
      </c>
      <c r="J768" s="201" t="s">
        <v>471</v>
      </c>
      <c r="K768" s="135"/>
      <c r="L768" s="201" t="s">
        <v>222</v>
      </c>
      <c r="M768" s="109">
        <v>7901</v>
      </c>
      <c r="N768" s="109">
        <v>371011</v>
      </c>
      <c r="O768" s="136"/>
      <c r="P768" s="109">
        <v>5</v>
      </c>
      <c r="Q768" s="202" t="s">
        <v>26</v>
      </c>
      <c r="R768" s="203">
        <v>127</v>
      </c>
      <c r="S768" s="204">
        <f>Table4[[#This Row],[VALUE]]*Table4[[#This Row],[QTD]]</f>
        <v>635</v>
      </c>
    </row>
    <row r="769" spans="1:19" ht="15" hidden="1" customHeight="1" x14ac:dyDescent="0.2">
      <c r="B769" s="141"/>
      <c r="C769" s="205">
        <v>45689</v>
      </c>
      <c r="D769" s="206" t="s">
        <v>285</v>
      </c>
      <c r="E769" s="208" t="s">
        <v>52</v>
      </c>
      <c r="F769" s="208" t="s">
        <v>600</v>
      </c>
      <c r="G769" s="206" t="s">
        <v>287</v>
      </c>
      <c r="H769" s="207" t="s">
        <v>288</v>
      </c>
      <c r="I769" s="206" t="s">
        <v>289</v>
      </c>
      <c r="J769" s="206" t="s">
        <v>453</v>
      </c>
      <c r="K769" s="142"/>
      <c r="L769" s="206" t="s">
        <v>222</v>
      </c>
      <c r="M769" s="207">
        <v>7901</v>
      </c>
      <c r="N769" s="207">
        <v>371011</v>
      </c>
      <c r="O769" s="143"/>
      <c r="P769" s="207">
        <v>2</v>
      </c>
      <c r="Q769" s="209" t="s">
        <v>26</v>
      </c>
      <c r="R769" s="210">
        <v>278</v>
      </c>
      <c r="S769" s="211">
        <f>Table4[[#This Row],[VALUE]]*Table4[[#This Row],[QTD]]</f>
        <v>556</v>
      </c>
    </row>
    <row r="770" spans="1:19" ht="15" hidden="1" customHeight="1" x14ac:dyDescent="0.2">
      <c r="B770" s="130"/>
      <c r="C770" s="190">
        <v>45689</v>
      </c>
      <c r="D770" s="191" t="s">
        <v>285</v>
      </c>
      <c r="E770" s="212" t="s">
        <v>557</v>
      </c>
      <c r="F770" s="212" t="s">
        <v>593</v>
      </c>
      <c r="G770" s="191" t="s">
        <v>287</v>
      </c>
      <c r="H770" s="192" t="s">
        <v>288</v>
      </c>
      <c r="I770" s="191" t="s">
        <v>289</v>
      </c>
      <c r="J770" s="191" t="s">
        <v>608</v>
      </c>
      <c r="K770" s="131"/>
      <c r="L770" s="191" t="s">
        <v>222</v>
      </c>
      <c r="M770" s="192">
        <v>7901</v>
      </c>
      <c r="N770" s="192">
        <v>371011</v>
      </c>
      <c r="O770" s="137"/>
      <c r="P770" s="192">
        <v>2</v>
      </c>
      <c r="Q770" s="193" t="s">
        <v>26</v>
      </c>
      <c r="R770" s="194">
        <v>22.5</v>
      </c>
      <c r="S770" s="195">
        <f>Table4[[#This Row],[VALUE]]*Table4[[#This Row],[QTD]]</f>
        <v>45</v>
      </c>
    </row>
    <row r="771" spans="1:19" ht="15" hidden="1" customHeight="1" x14ac:dyDescent="0.2">
      <c r="B771" s="132"/>
      <c r="C771" s="196">
        <v>45689</v>
      </c>
      <c r="D771" s="107" t="s">
        <v>285</v>
      </c>
      <c r="E771" s="112" t="s">
        <v>557</v>
      </c>
      <c r="F771" s="112" t="s">
        <v>593</v>
      </c>
      <c r="G771" s="107" t="s">
        <v>287</v>
      </c>
      <c r="H771" s="96" t="s">
        <v>288</v>
      </c>
      <c r="I771" s="107" t="s">
        <v>289</v>
      </c>
      <c r="J771" s="107" t="s">
        <v>469</v>
      </c>
      <c r="K771" s="133"/>
      <c r="L771" s="107" t="s">
        <v>222</v>
      </c>
      <c r="M771" s="96">
        <v>7901</v>
      </c>
      <c r="N771" s="96">
        <v>371011</v>
      </c>
      <c r="O771" s="103"/>
      <c r="P771" s="96">
        <v>6</v>
      </c>
      <c r="Q771" s="197" t="s">
        <v>26</v>
      </c>
      <c r="R771" s="198">
        <v>13.5</v>
      </c>
      <c r="S771" s="199">
        <f>Table4[[#This Row],[VALUE]]*Table4[[#This Row],[QTD]]</f>
        <v>81</v>
      </c>
    </row>
    <row r="772" spans="1:19" ht="15" hidden="1" customHeight="1" x14ac:dyDescent="0.2">
      <c r="B772" s="132"/>
      <c r="C772" s="196">
        <v>45689</v>
      </c>
      <c r="D772" s="107" t="s">
        <v>285</v>
      </c>
      <c r="E772" s="112" t="s">
        <v>557</v>
      </c>
      <c r="F772" s="112" t="s">
        <v>593</v>
      </c>
      <c r="G772" s="107" t="s">
        <v>287</v>
      </c>
      <c r="H772" s="96" t="s">
        <v>288</v>
      </c>
      <c r="I772" s="107" t="s">
        <v>289</v>
      </c>
      <c r="J772" s="107" t="s">
        <v>630</v>
      </c>
      <c r="K772" s="133"/>
      <c r="L772" s="107" t="s">
        <v>222</v>
      </c>
      <c r="M772" s="96">
        <v>7901</v>
      </c>
      <c r="N772" s="96">
        <v>371011</v>
      </c>
      <c r="O772" s="103"/>
      <c r="P772" s="96">
        <v>4</v>
      </c>
      <c r="Q772" s="197" t="s">
        <v>26</v>
      </c>
      <c r="R772" s="198">
        <v>11.5</v>
      </c>
      <c r="S772" s="199">
        <f>Table4[[#This Row],[VALUE]]*Table4[[#This Row],[QTD]]</f>
        <v>46</v>
      </c>
    </row>
    <row r="773" spans="1:19" ht="15" hidden="1" customHeight="1" x14ac:dyDescent="0.2">
      <c r="B773" s="132"/>
      <c r="C773" s="196">
        <v>45689</v>
      </c>
      <c r="D773" s="107" t="s">
        <v>285</v>
      </c>
      <c r="E773" s="112" t="s">
        <v>557</v>
      </c>
      <c r="F773" s="112" t="s">
        <v>593</v>
      </c>
      <c r="G773" s="107" t="s">
        <v>287</v>
      </c>
      <c r="H773" s="96" t="s">
        <v>288</v>
      </c>
      <c r="I773" s="107" t="s">
        <v>289</v>
      </c>
      <c r="J773" s="107" t="s">
        <v>630</v>
      </c>
      <c r="K773" s="133"/>
      <c r="L773" s="107" t="s">
        <v>222</v>
      </c>
      <c r="M773" s="96">
        <v>7901</v>
      </c>
      <c r="N773" s="96">
        <v>371011</v>
      </c>
      <c r="O773" s="103"/>
      <c r="P773" s="96">
        <v>6</v>
      </c>
      <c r="Q773" s="197" t="s">
        <v>26</v>
      </c>
      <c r="R773" s="198">
        <v>11.5</v>
      </c>
      <c r="S773" s="199">
        <f>Table4[[#This Row],[VALUE]]*Table4[[#This Row],[QTD]]</f>
        <v>69</v>
      </c>
    </row>
    <row r="774" spans="1:19" ht="15" hidden="1" customHeight="1" x14ac:dyDescent="0.2">
      <c r="B774" s="132"/>
      <c r="C774" s="196">
        <v>45689</v>
      </c>
      <c r="D774" s="107" t="s">
        <v>285</v>
      </c>
      <c r="E774" s="112" t="s">
        <v>557</v>
      </c>
      <c r="F774" s="112" t="s">
        <v>593</v>
      </c>
      <c r="G774" s="107" t="s">
        <v>287</v>
      </c>
      <c r="H774" s="96" t="s">
        <v>288</v>
      </c>
      <c r="I774" s="107" t="s">
        <v>289</v>
      </c>
      <c r="J774" s="107" t="s">
        <v>630</v>
      </c>
      <c r="K774" s="133"/>
      <c r="L774" s="107" t="s">
        <v>222</v>
      </c>
      <c r="M774" s="96">
        <v>7901</v>
      </c>
      <c r="N774" s="96">
        <v>371011</v>
      </c>
      <c r="O774" s="103"/>
      <c r="P774" s="96">
        <v>4</v>
      </c>
      <c r="Q774" s="197" t="s">
        <v>26</v>
      </c>
      <c r="R774" s="198">
        <v>11.5</v>
      </c>
      <c r="S774" s="199">
        <f>Table4[[#This Row],[VALUE]]*Table4[[#This Row],[QTD]]</f>
        <v>46</v>
      </c>
    </row>
    <row r="775" spans="1:19" ht="15" hidden="1" customHeight="1" x14ac:dyDescent="0.2">
      <c r="B775" s="132"/>
      <c r="C775" s="196">
        <v>45689</v>
      </c>
      <c r="D775" s="107" t="s">
        <v>285</v>
      </c>
      <c r="E775" s="112" t="s">
        <v>557</v>
      </c>
      <c r="F775" s="112" t="s">
        <v>593</v>
      </c>
      <c r="G775" s="107" t="s">
        <v>287</v>
      </c>
      <c r="H775" s="96" t="s">
        <v>288</v>
      </c>
      <c r="I775" s="107" t="s">
        <v>289</v>
      </c>
      <c r="J775" s="107" t="s">
        <v>630</v>
      </c>
      <c r="K775" s="133"/>
      <c r="L775" s="107" t="s">
        <v>222</v>
      </c>
      <c r="M775" s="96">
        <v>7901</v>
      </c>
      <c r="N775" s="96">
        <v>371011</v>
      </c>
      <c r="O775" s="103"/>
      <c r="P775" s="96">
        <v>4</v>
      </c>
      <c r="Q775" s="197" t="s">
        <v>26</v>
      </c>
      <c r="R775" s="198">
        <v>11.5</v>
      </c>
      <c r="S775" s="199">
        <f>Table4[[#This Row],[VALUE]]*Table4[[#This Row],[QTD]]</f>
        <v>46</v>
      </c>
    </row>
    <row r="776" spans="1:19" ht="15" hidden="1" customHeight="1" x14ac:dyDescent="0.2">
      <c r="B776" s="132"/>
      <c r="C776" s="196">
        <v>45689</v>
      </c>
      <c r="D776" s="107" t="s">
        <v>285</v>
      </c>
      <c r="E776" s="112" t="s">
        <v>557</v>
      </c>
      <c r="F776" s="112" t="s">
        <v>593</v>
      </c>
      <c r="G776" s="107" t="s">
        <v>287</v>
      </c>
      <c r="H776" s="96" t="s">
        <v>288</v>
      </c>
      <c r="I776" s="107" t="s">
        <v>289</v>
      </c>
      <c r="J776" s="107" t="s">
        <v>630</v>
      </c>
      <c r="K776" s="133"/>
      <c r="L776" s="107" t="s">
        <v>222</v>
      </c>
      <c r="M776" s="96">
        <v>7901</v>
      </c>
      <c r="N776" s="96">
        <v>371011</v>
      </c>
      <c r="O776" s="103"/>
      <c r="P776" s="96">
        <v>6</v>
      </c>
      <c r="Q776" s="197" t="s">
        <v>26</v>
      </c>
      <c r="R776" s="198">
        <v>5</v>
      </c>
      <c r="S776" s="199">
        <f>Table4[[#This Row],[VALUE]]*Table4[[#This Row],[QTD]]</f>
        <v>30</v>
      </c>
    </row>
    <row r="777" spans="1:19" ht="15" hidden="1" customHeight="1" x14ac:dyDescent="0.2">
      <c r="B777" s="132"/>
      <c r="C777" s="196">
        <v>45689</v>
      </c>
      <c r="D777" s="107" t="s">
        <v>285</v>
      </c>
      <c r="E777" s="112" t="s">
        <v>557</v>
      </c>
      <c r="F777" s="112" t="s">
        <v>593</v>
      </c>
      <c r="G777" s="107" t="s">
        <v>287</v>
      </c>
      <c r="H777" s="96" t="s">
        <v>288</v>
      </c>
      <c r="I777" s="107" t="s">
        <v>289</v>
      </c>
      <c r="J777" s="107" t="s">
        <v>630</v>
      </c>
      <c r="K777" s="133"/>
      <c r="L777" s="107" t="s">
        <v>222</v>
      </c>
      <c r="M777" s="96">
        <v>7901</v>
      </c>
      <c r="N777" s="96">
        <v>371011</v>
      </c>
      <c r="O777" s="103"/>
      <c r="P777" s="96">
        <v>6</v>
      </c>
      <c r="Q777" s="197" t="s">
        <v>26</v>
      </c>
      <c r="R777" s="198">
        <v>5</v>
      </c>
      <c r="S777" s="199">
        <f>Table4[[#This Row],[VALUE]]*Table4[[#This Row],[QTD]]</f>
        <v>30</v>
      </c>
    </row>
    <row r="778" spans="1:19" ht="15" hidden="1" customHeight="1" x14ac:dyDescent="0.2">
      <c r="B778" s="132"/>
      <c r="C778" s="196">
        <v>45689</v>
      </c>
      <c r="D778" s="107" t="s">
        <v>285</v>
      </c>
      <c r="E778" s="112" t="s">
        <v>557</v>
      </c>
      <c r="F778" s="112" t="s">
        <v>593</v>
      </c>
      <c r="G778" s="107" t="s">
        <v>287</v>
      </c>
      <c r="H778" s="96" t="s">
        <v>288</v>
      </c>
      <c r="I778" s="107" t="s">
        <v>289</v>
      </c>
      <c r="J778" s="107" t="s">
        <v>630</v>
      </c>
      <c r="K778" s="133"/>
      <c r="L778" s="107" t="s">
        <v>222</v>
      </c>
      <c r="M778" s="96">
        <v>7901</v>
      </c>
      <c r="N778" s="96">
        <v>371011</v>
      </c>
      <c r="O778" s="103"/>
      <c r="P778" s="96">
        <v>6</v>
      </c>
      <c r="Q778" s="197" t="s">
        <v>26</v>
      </c>
      <c r="R778" s="198">
        <v>5</v>
      </c>
      <c r="S778" s="199">
        <f>Table4[[#This Row],[VALUE]]*Table4[[#This Row],[QTD]]</f>
        <v>30</v>
      </c>
    </row>
    <row r="779" spans="1:19" ht="15" hidden="1" customHeight="1" x14ac:dyDescent="0.2">
      <c r="B779" s="132"/>
      <c r="C779" s="196">
        <v>45689</v>
      </c>
      <c r="D779" s="107" t="s">
        <v>285</v>
      </c>
      <c r="E779" s="112" t="s">
        <v>557</v>
      </c>
      <c r="F779" s="112" t="s">
        <v>593</v>
      </c>
      <c r="G779" s="107" t="s">
        <v>287</v>
      </c>
      <c r="H779" s="96" t="s">
        <v>288</v>
      </c>
      <c r="I779" s="107" t="s">
        <v>289</v>
      </c>
      <c r="J779" s="107" t="s">
        <v>630</v>
      </c>
      <c r="K779" s="133"/>
      <c r="L779" s="107" t="s">
        <v>222</v>
      </c>
      <c r="M779" s="96">
        <v>7901</v>
      </c>
      <c r="N779" s="96">
        <v>371011</v>
      </c>
      <c r="O779" s="103"/>
      <c r="P779" s="96">
        <v>6</v>
      </c>
      <c r="Q779" s="197" t="s">
        <v>26</v>
      </c>
      <c r="R779" s="198">
        <v>5</v>
      </c>
      <c r="S779" s="199">
        <f>Table4[[#This Row],[VALUE]]*Table4[[#This Row],[QTD]]</f>
        <v>30</v>
      </c>
    </row>
    <row r="780" spans="1:19" ht="15" hidden="1" customHeight="1" x14ac:dyDescent="0.2">
      <c r="A780" s="221"/>
      <c r="B780" s="180"/>
      <c r="C780" s="196">
        <v>45689</v>
      </c>
      <c r="D780" s="107" t="s">
        <v>285</v>
      </c>
      <c r="E780" s="112" t="s">
        <v>557</v>
      </c>
      <c r="F780" s="112" t="s">
        <v>593</v>
      </c>
      <c r="G780" s="107" t="s">
        <v>287</v>
      </c>
      <c r="H780" s="96" t="s">
        <v>288</v>
      </c>
      <c r="I780" s="107" t="s">
        <v>289</v>
      </c>
      <c r="J780" s="107" t="s">
        <v>630</v>
      </c>
      <c r="K780" s="133"/>
      <c r="L780" s="107" t="s">
        <v>222</v>
      </c>
      <c r="M780" s="96">
        <v>7901</v>
      </c>
      <c r="N780" s="96">
        <v>371011</v>
      </c>
      <c r="O780" s="103"/>
      <c r="P780" s="96">
        <v>4</v>
      </c>
      <c r="Q780" s="197" t="s">
        <v>26</v>
      </c>
      <c r="R780" s="198">
        <v>11.5</v>
      </c>
      <c r="S780" s="220">
        <f>Table4[[#This Row],[VALUE]]*Table4[[#This Row],[QTD]]</f>
        <v>46</v>
      </c>
    </row>
    <row r="781" spans="1:19" ht="15" hidden="1" customHeight="1" x14ac:dyDescent="0.2">
      <c r="A781" s="221"/>
      <c r="B781" s="180"/>
      <c r="C781" s="196">
        <v>45689</v>
      </c>
      <c r="D781" s="107" t="s">
        <v>285</v>
      </c>
      <c r="E781" s="112" t="s">
        <v>647</v>
      </c>
      <c r="F781" s="112" t="s">
        <v>593</v>
      </c>
      <c r="G781" s="107" t="s">
        <v>287</v>
      </c>
      <c r="H781" s="96" t="s">
        <v>288</v>
      </c>
      <c r="I781" s="107" t="s">
        <v>289</v>
      </c>
      <c r="J781" s="107" t="s">
        <v>631</v>
      </c>
      <c r="K781" s="133"/>
      <c r="L781" s="107" t="s">
        <v>222</v>
      </c>
      <c r="M781" s="96">
        <v>7901</v>
      </c>
      <c r="N781" s="96">
        <v>371011</v>
      </c>
      <c r="O781" s="103"/>
      <c r="P781" s="96">
        <v>8</v>
      </c>
      <c r="Q781" s="197" t="s">
        <v>26</v>
      </c>
      <c r="R781" s="198">
        <v>377</v>
      </c>
      <c r="S781" s="220">
        <f>Table4[[#This Row],[VALUE]]*Table4[[#This Row],[QTD]]</f>
        <v>3016</v>
      </c>
    </row>
    <row r="782" spans="1:19" ht="15" hidden="1" customHeight="1" x14ac:dyDescent="0.2">
      <c r="A782" s="221"/>
      <c r="B782" s="180"/>
      <c r="C782" s="196">
        <v>45689</v>
      </c>
      <c r="D782" s="107" t="s">
        <v>285</v>
      </c>
      <c r="E782" s="112" t="s">
        <v>634</v>
      </c>
      <c r="F782" s="112" t="s">
        <v>633</v>
      </c>
      <c r="G782" s="107" t="s">
        <v>287</v>
      </c>
      <c r="H782" s="96" t="s">
        <v>288</v>
      </c>
      <c r="I782" s="107" t="s">
        <v>289</v>
      </c>
      <c r="J782" s="107" t="s">
        <v>632</v>
      </c>
      <c r="K782" s="133"/>
      <c r="L782" s="107" t="s">
        <v>222</v>
      </c>
      <c r="M782" s="96">
        <v>7901</v>
      </c>
      <c r="N782" s="96">
        <v>371011</v>
      </c>
      <c r="O782" s="103"/>
      <c r="P782" s="96">
        <v>1</v>
      </c>
      <c r="Q782" s="197" t="s">
        <v>26</v>
      </c>
      <c r="R782" s="198">
        <v>9.6</v>
      </c>
      <c r="S782" s="220">
        <f>Table4[[#This Row],[VALUE]]*Table4[[#This Row],[QTD]]</f>
        <v>9.6</v>
      </c>
    </row>
    <row r="783" spans="1:19" ht="15" hidden="1" customHeight="1" x14ac:dyDescent="0.2">
      <c r="A783" s="221"/>
      <c r="B783" s="180"/>
      <c r="C783" s="196">
        <v>45689</v>
      </c>
      <c r="D783" s="107" t="s">
        <v>285</v>
      </c>
      <c r="E783" s="112" t="s">
        <v>634</v>
      </c>
      <c r="F783" s="112" t="s">
        <v>633</v>
      </c>
      <c r="G783" s="107" t="s">
        <v>287</v>
      </c>
      <c r="H783" s="96" t="s">
        <v>288</v>
      </c>
      <c r="I783" s="107" t="s">
        <v>289</v>
      </c>
      <c r="J783" s="107" t="s">
        <v>630</v>
      </c>
      <c r="K783" s="133"/>
      <c r="L783" s="107" t="s">
        <v>222</v>
      </c>
      <c r="M783" s="96">
        <v>7901</v>
      </c>
      <c r="N783" s="96">
        <v>371011</v>
      </c>
      <c r="O783" s="103"/>
      <c r="P783" s="96">
        <v>2</v>
      </c>
      <c r="Q783" s="197" t="s">
        <v>26</v>
      </c>
      <c r="R783" s="198">
        <v>4.5999999999999996</v>
      </c>
      <c r="S783" s="220">
        <f>Table4[[#This Row],[VALUE]]*Table4[[#This Row],[QTD]]</f>
        <v>9.1999999999999993</v>
      </c>
    </row>
    <row r="784" spans="1:19" ht="15" hidden="1" customHeight="1" x14ac:dyDescent="0.2">
      <c r="A784" s="221"/>
      <c r="B784" s="180"/>
      <c r="C784" s="196">
        <v>45689</v>
      </c>
      <c r="D784" s="107" t="s">
        <v>285</v>
      </c>
      <c r="E784" s="112" t="s">
        <v>634</v>
      </c>
      <c r="F784" s="112" t="s">
        <v>633</v>
      </c>
      <c r="G784" s="107" t="s">
        <v>287</v>
      </c>
      <c r="H784" s="96" t="s">
        <v>288</v>
      </c>
      <c r="I784" s="107" t="s">
        <v>289</v>
      </c>
      <c r="J784" s="107" t="s">
        <v>312</v>
      </c>
      <c r="K784" s="133"/>
      <c r="L784" s="107" t="s">
        <v>222</v>
      </c>
      <c r="M784" s="96">
        <v>7901</v>
      </c>
      <c r="N784" s="96">
        <v>371011</v>
      </c>
      <c r="O784" s="103"/>
      <c r="P784" s="96">
        <v>4</v>
      </c>
      <c r="Q784" s="197" t="s">
        <v>26</v>
      </c>
      <c r="R784" s="198">
        <v>14</v>
      </c>
      <c r="S784" s="220">
        <f>Table4[[#This Row],[VALUE]]*Table4[[#This Row],[QTD]]</f>
        <v>56</v>
      </c>
    </row>
    <row r="785" spans="1:19" ht="15" hidden="1" customHeight="1" x14ac:dyDescent="0.2">
      <c r="A785" s="221"/>
      <c r="B785" s="180"/>
      <c r="C785" s="196">
        <v>45689</v>
      </c>
      <c r="D785" s="107" t="s">
        <v>285</v>
      </c>
      <c r="E785" s="112" t="s">
        <v>464</v>
      </c>
      <c r="F785" s="112" t="s">
        <v>593</v>
      </c>
      <c r="G785" s="107" t="s">
        <v>287</v>
      </c>
      <c r="H785" s="96" t="s">
        <v>288</v>
      </c>
      <c r="I785" s="107" t="s">
        <v>289</v>
      </c>
      <c r="J785" s="107" t="s">
        <v>462</v>
      </c>
      <c r="K785" s="133"/>
      <c r="L785" s="107" t="s">
        <v>222</v>
      </c>
      <c r="M785" s="96">
        <v>7901</v>
      </c>
      <c r="N785" s="96">
        <v>371011</v>
      </c>
      <c r="O785" s="103"/>
      <c r="P785" s="96">
        <v>4</v>
      </c>
      <c r="Q785" s="197" t="s">
        <v>26</v>
      </c>
      <c r="R785" s="198">
        <v>278</v>
      </c>
      <c r="S785" s="220">
        <f>Table4[[#This Row],[VALUE]]*Table4[[#This Row],[QTD]]</f>
        <v>1112</v>
      </c>
    </row>
    <row r="786" spans="1:19" ht="15" hidden="1" customHeight="1" x14ac:dyDescent="0.2">
      <c r="A786" s="221"/>
      <c r="B786" s="180"/>
      <c r="C786" s="196">
        <v>45689</v>
      </c>
      <c r="D786" s="107" t="s">
        <v>285</v>
      </c>
      <c r="E786" s="112" t="s">
        <v>464</v>
      </c>
      <c r="F786" s="112" t="s">
        <v>593</v>
      </c>
      <c r="G786" s="107" t="s">
        <v>287</v>
      </c>
      <c r="H786" s="96" t="s">
        <v>288</v>
      </c>
      <c r="I786" s="107" t="s">
        <v>289</v>
      </c>
      <c r="J786" s="107" t="s">
        <v>635</v>
      </c>
      <c r="K786" s="133"/>
      <c r="L786" s="107" t="s">
        <v>222</v>
      </c>
      <c r="M786" s="96">
        <v>7901</v>
      </c>
      <c r="N786" s="96">
        <v>371011</v>
      </c>
      <c r="O786" s="103"/>
      <c r="P786" s="96">
        <v>4</v>
      </c>
      <c r="Q786" s="197" t="s">
        <v>26</v>
      </c>
      <c r="R786" s="198">
        <v>127</v>
      </c>
      <c r="S786" s="220">
        <f>Table4[[#This Row],[VALUE]]*Table4[[#This Row],[QTD]]</f>
        <v>508</v>
      </c>
    </row>
    <row r="787" spans="1:19" ht="15" hidden="1" customHeight="1" x14ac:dyDescent="0.2">
      <c r="A787" s="221"/>
      <c r="B787" s="180"/>
      <c r="C787" s="196">
        <v>45689</v>
      </c>
      <c r="D787" s="107" t="s">
        <v>285</v>
      </c>
      <c r="E787" s="112" t="s">
        <v>464</v>
      </c>
      <c r="F787" s="112" t="s">
        <v>593</v>
      </c>
      <c r="G787" s="107" t="s">
        <v>287</v>
      </c>
      <c r="H787" s="96" t="s">
        <v>288</v>
      </c>
      <c r="I787" s="107" t="s">
        <v>289</v>
      </c>
      <c r="J787" s="107" t="s">
        <v>636</v>
      </c>
      <c r="K787" s="133"/>
      <c r="L787" s="107" t="s">
        <v>222</v>
      </c>
      <c r="M787" s="96">
        <v>7901</v>
      </c>
      <c r="N787" s="96">
        <v>371011</v>
      </c>
      <c r="O787" s="103"/>
      <c r="P787" s="96">
        <v>4</v>
      </c>
      <c r="Q787" s="197" t="s">
        <v>26</v>
      </c>
      <c r="R787" s="198">
        <v>278</v>
      </c>
      <c r="S787" s="220">
        <f>Table4[[#This Row],[VALUE]]*Table4[[#This Row],[QTD]]</f>
        <v>1112</v>
      </c>
    </row>
    <row r="788" spans="1:19" ht="15" hidden="1" customHeight="1" x14ac:dyDescent="0.2">
      <c r="A788" s="221"/>
      <c r="B788" s="180"/>
      <c r="C788" s="196">
        <v>45689</v>
      </c>
      <c r="D788" s="107" t="s">
        <v>285</v>
      </c>
      <c r="E788" s="112" t="s">
        <v>464</v>
      </c>
      <c r="F788" s="112" t="s">
        <v>593</v>
      </c>
      <c r="G788" s="107" t="s">
        <v>287</v>
      </c>
      <c r="H788" s="96" t="s">
        <v>288</v>
      </c>
      <c r="I788" s="107" t="s">
        <v>289</v>
      </c>
      <c r="J788" s="107" t="s">
        <v>636</v>
      </c>
      <c r="K788" s="133"/>
      <c r="L788" s="107" t="s">
        <v>222</v>
      </c>
      <c r="M788" s="96">
        <v>7901</v>
      </c>
      <c r="N788" s="96">
        <v>371011</v>
      </c>
      <c r="O788" s="103"/>
      <c r="P788" s="96">
        <v>4</v>
      </c>
      <c r="Q788" s="197" t="s">
        <v>26</v>
      </c>
      <c r="R788" s="198">
        <v>278</v>
      </c>
      <c r="S788" s="220">
        <f>Table4[[#This Row],[VALUE]]*Table4[[#This Row],[QTD]]</f>
        <v>1112</v>
      </c>
    </row>
    <row r="789" spans="1:19" ht="15" hidden="1" customHeight="1" x14ac:dyDescent="0.2">
      <c r="A789" s="221"/>
      <c r="B789" s="180"/>
      <c r="C789" s="196">
        <v>45689</v>
      </c>
      <c r="D789" s="107" t="s">
        <v>285</v>
      </c>
      <c r="E789" s="112" t="s">
        <v>464</v>
      </c>
      <c r="F789" s="112" t="s">
        <v>593</v>
      </c>
      <c r="G789" s="107" t="s">
        <v>287</v>
      </c>
      <c r="H789" s="96" t="s">
        <v>288</v>
      </c>
      <c r="I789" s="107" t="s">
        <v>289</v>
      </c>
      <c r="J789" s="107" t="s">
        <v>637</v>
      </c>
      <c r="K789" s="133"/>
      <c r="L789" s="107" t="s">
        <v>222</v>
      </c>
      <c r="M789" s="96">
        <v>7901</v>
      </c>
      <c r="N789" s="96">
        <v>371011</v>
      </c>
      <c r="O789" s="103"/>
      <c r="P789" s="96">
        <v>4</v>
      </c>
      <c r="Q789" s="197" t="s">
        <v>26</v>
      </c>
      <c r="R789" s="198">
        <v>278</v>
      </c>
      <c r="S789" s="220">
        <f>Table4[[#This Row],[VALUE]]*Table4[[#This Row],[QTD]]</f>
        <v>1112</v>
      </c>
    </row>
    <row r="790" spans="1:19" ht="15" hidden="1" customHeight="1" x14ac:dyDescent="0.2">
      <c r="A790" s="221"/>
      <c r="B790" s="180"/>
      <c r="C790" s="196">
        <v>45689</v>
      </c>
      <c r="D790" s="107" t="s">
        <v>285</v>
      </c>
      <c r="E790" s="112" t="s">
        <v>464</v>
      </c>
      <c r="F790" s="112" t="s">
        <v>593</v>
      </c>
      <c r="G790" s="107" t="s">
        <v>287</v>
      </c>
      <c r="H790" s="96" t="s">
        <v>288</v>
      </c>
      <c r="I790" s="107" t="s">
        <v>289</v>
      </c>
      <c r="J790" s="107" t="s">
        <v>638</v>
      </c>
      <c r="K790" s="133"/>
      <c r="L790" s="107" t="s">
        <v>222</v>
      </c>
      <c r="M790" s="96">
        <v>7901</v>
      </c>
      <c r="N790" s="96">
        <v>371011</v>
      </c>
      <c r="O790" s="103"/>
      <c r="P790" s="96">
        <v>4</v>
      </c>
      <c r="Q790" s="197" t="s">
        <v>26</v>
      </c>
      <c r="R790" s="198">
        <v>278</v>
      </c>
      <c r="S790" s="220">
        <f>Table4[[#This Row],[VALUE]]*Table4[[#This Row],[QTD]]</f>
        <v>1112</v>
      </c>
    </row>
    <row r="791" spans="1:19" ht="15" hidden="1" customHeight="1" x14ac:dyDescent="0.2">
      <c r="A791" s="221"/>
      <c r="B791" s="180"/>
      <c r="C791" s="196">
        <v>45689</v>
      </c>
      <c r="D791" s="107" t="s">
        <v>285</v>
      </c>
      <c r="E791" s="112" t="s">
        <v>464</v>
      </c>
      <c r="F791" s="112" t="s">
        <v>593</v>
      </c>
      <c r="G791" s="107" t="s">
        <v>287</v>
      </c>
      <c r="H791" s="96" t="s">
        <v>288</v>
      </c>
      <c r="I791" s="107" t="s">
        <v>289</v>
      </c>
      <c r="J791" s="107" t="s">
        <v>618</v>
      </c>
      <c r="K791" s="133"/>
      <c r="L791" s="107" t="s">
        <v>222</v>
      </c>
      <c r="M791" s="96">
        <v>7901</v>
      </c>
      <c r="N791" s="96">
        <v>371011</v>
      </c>
      <c r="O791" s="103"/>
      <c r="P791" s="96">
        <v>4</v>
      </c>
      <c r="Q791" s="197" t="s">
        <v>26</v>
      </c>
      <c r="R791" s="198">
        <v>377</v>
      </c>
      <c r="S791" s="220">
        <f>Table4[[#This Row],[VALUE]]*Table4[[#This Row],[QTD]]</f>
        <v>1508</v>
      </c>
    </row>
    <row r="792" spans="1:19" ht="15" hidden="1" customHeight="1" x14ac:dyDescent="0.2">
      <c r="A792" s="221"/>
      <c r="B792" s="180"/>
      <c r="C792" s="196">
        <v>45689</v>
      </c>
      <c r="D792" s="107" t="s">
        <v>285</v>
      </c>
      <c r="E792" s="112" t="s">
        <v>464</v>
      </c>
      <c r="F792" s="112" t="s">
        <v>593</v>
      </c>
      <c r="G792" s="107" t="s">
        <v>287</v>
      </c>
      <c r="H792" s="96" t="s">
        <v>288</v>
      </c>
      <c r="I792" s="107" t="s">
        <v>289</v>
      </c>
      <c r="J792" s="107" t="s">
        <v>639</v>
      </c>
      <c r="K792" s="133"/>
      <c r="L792" s="107" t="s">
        <v>222</v>
      </c>
      <c r="M792" s="96">
        <v>7901</v>
      </c>
      <c r="N792" s="96">
        <v>371011</v>
      </c>
      <c r="O792" s="103"/>
      <c r="P792" s="96">
        <v>4</v>
      </c>
      <c r="Q792" s="197" t="s">
        <v>26</v>
      </c>
      <c r="R792" s="198">
        <v>127</v>
      </c>
      <c r="S792" s="220">
        <f>Table4[[#This Row],[VALUE]]*Table4[[#This Row],[QTD]]</f>
        <v>508</v>
      </c>
    </row>
    <row r="793" spans="1:19" ht="15" hidden="1" customHeight="1" x14ac:dyDescent="0.2">
      <c r="A793" s="221"/>
      <c r="B793" s="180"/>
      <c r="C793" s="196">
        <v>45689</v>
      </c>
      <c r="D793" s="107" t="s">
        <v>285</v>
      </c>
      <c r="E793" s="112" t="s">
        <v>557</v>
      </c>
      <c r="F793" s="112" t="s">
        <v>593</v>
      </c>
      <c r="G793" s="107" t="s">
        <v>287</v>
      </c>
      <c r="H793" s="96" t="s">
        <v>288</v>
      </c>
      <c r="I793" s="107" t="s">
        <v>289</v>
      </c>
      <c r="J793" s="107" t="s">
        <v>621</v>
      </c>
      <c r="K793" s="133"/>
      <c r="L793" s="107" t="s">
        <v>222</v>
      </c>
      <c r="M793" s="96">
        <v>7901</v>
      </c>
      <c r="N793" s="96">
        <v>371011</v>
      </c>
      <c r="O793" s="103"/>
      <c r="P793" s="96">
        <v>10</v>
      </c>
      <c r="Q793" s="197" t="s">
        <v>26</v>
      </c>
      <c r="R793" s="198">
        <v>11.5</v>
      </c>
      <c r="S793" s="220">
        <f>Table4[[#This Row],[VALUE]]*Table4[[#This Row],[QTD]]</f>
        <v>115</v>
      </c>
    </row>
    <row r="794" spans="1:19" ht="15" hidden="1" customHeight="1" x14ac:dyDescent="0.2">
      <c r="A794" s="221"/>
      <c r="B794" s="180"/>
      <c r="C794" s="196">
        <v>45689</v>
      </c>
      <c r="D794" s="107" t="s">
        <v>285</v>
      </c>
      <c r="E794" s="112" t="s">
        <v>557</v>
      </c>
      <c r="F794" s="112" t="s">
        <v>593</v>
      </c>
      <c r="G794" s="107" t="s">
        <v>287</v>
      </c>
      <c r="H794" s="96" t="s">
        <v>288</v>
      </c>
      <c r="I794" s="107" t="s">
        <v>289</v>
      </c>
      <c r="J794" s="107" t="s">
        <v>640</v>
      </c>
      <c r="K794" s="133"/>
      <c r="L794" s="107" t="s">
        <v>222</v>
      </c>
      <c r="M794" s="96">
        <v>7901</v>
      </c>
      <c r="N794" s="96">
        <v>371011</v>
      </c>
      <c r="O794" s="103"/>
      <c r="P794" s="96">
        <v>5</v>
      </c>
      <c r="Q794" s="197" t="s">
        <v>26</v>
      </c>
      <c r="R794" s="198">
        <v>12</v>
      </c>
      <c r="S794" s="220">
        <f>Table4[[#This Row],[VALUE]]*Table4[[#This Row],[QTD]]</f>
        <v>60</v>
      </c>
    </row>
    <row r="795" spans="1:19" ht="15" hidden="1" customHeight="1" x14ac:dyDescent="0.2">
      <c r="A795" s="221"/>
      <c r="B795" s="180"/>
      <c r="C795" s="196">
        <v>45689</v>
      </c>
      <c r="D795" s="107" t="s">
        <v>285</v>
      </c>
      <c r="E795" s="112" t="s">
        <v>557</v>
      </c>
      <c r="F795" s="112" t="s">
        <v>593</v>
      </c>
      <c r="G795" s="107" t="s">
        <v>287</v>
      </c>
      <c r="H795" s="96" t="s">
        <v>288</v>
      </c>
      <c r="I795" s="107" t="s">
        <v>289</v>
      </c>
      <c r="J795" s="107" t="s">
        <v>641</v>
      </c>
      <c r="K795" s="133"/>
      <c r="L795" s="107" t="s">
        <v>222</v>
      </c>
      <c r="M795" s="96">
        <v>7901</v>
      </c>
      <c r="N795" s="96">
        <v>371011</v>
      </c>
      <c r="O795" s="103"/>
      <c r="P795" s="96">
        <v>10</v>
      </c>
      <c r="Q795" s="197" t="s">
        <v>26</v>
      </c>
      <c r="R795" s="198">
        <v>13.5</v>
      </c>
      <c r="S795" s="220">
        <f>Table4[[#This Row],[VALUE]]*Table4[[#This Row],[QTD]]</f>
        <v>135</v>
      </c>
    </row>
    <row r="796" spans="1:19" ht="15" hidden="1" customHeight="1" x14ac:dyDescent="0.2">
      <c r="A796" s="221"/>
      <c r="B796" s="180"/>
      <c r="C796" s="196">
        <v>45689</v>
      </c>
      <c r="D796" s="107" t="s">
        <v>285</v>
      </c>
      <c r="E796" s="112" t="s">
        <v>557</v>
      </c>
      <c r="F796" s="112" t="s">
        <v>593</v>
      </c>
      <c r="G796" s="107" t="s">
        <v>287</v>
      </c>
      <c r="H796" s="96" t="s">
        <v>288</v>
      </c>
      <c r="I796" s="107" t="s">
        <v>289</v>
      </c>
      <c r="J796" s="107" t="s">
        <v>606</v>
      </c>
      <c r="K796" s="133"/>
      <c r="L796" s="107" t="s">
        <v>222</v>
      </c>
      <c r="M796" s="96">
        <v>7901</v>
      </c>
      <c r="N796" s="96">
        <v>371011</v>
      </c>
      <c r="O796" s="103"/>
      <c r="P796" s="96">
        <v>6</v>
      </c>
      <c r="Q796" s="197" t="s">
        <v>26</v>
      </c>
      <c r="R796" s="198">
        <v>43</v>
      </c>
      <c r="S796" s="220">
        <f>Table4[[#This Row],[VALUE]]*Table4[[#This Row],[QTD]]</f>
        <v>258</v>
      </c>
    </row>
    <row r="797" spans="1:19" ht="15" hidden="1" customHeight="1" x14ac:dyDescent="0.2">
      <c r="A797" s="221"/>
      <c r="B797" s="180"/>
      <c r="C797" s="196">
        <v>45689</v>
      </c>
      <c r="D797" s="107" t="s">
        <v>285</v>
      </c>
      <c r="E797" s="112" t="s">
        <v>557</v>
      </c>
      <c r="F797" s="112" t="s">
        <v>593</v>
      </c>
      <c r="G797" s="107" t="s">
        <v>287</v>
      </c>
      <c r="H797" s="96" t="s">
        <v>288</v>
      </c>
      <c r="I797" s="107" t="s">
        <v>289</v>
      </c>
      <c r="J797" s="107" t="s">
        <v>640</v>
      </c>
      <c r="K797" s="133"/>
      <c r="L797" s="107" t="s">
        <v>222</v>
      </c>
      <c r="M797" s="96">
        <v>7901</v>
      </c>
      <c r="N797" s="96">
        <v>371011</v>
      </c>
      <c r="O797" s="103"/>
      <c r="P797" s="96">
        <v>6</v>
      </c>
      <c r="Q797" s="197" t="s">
        <v>26</v>
      </c>
      <c r="R797" s="198">
        <v>12</v>
      </c>
      <c r="S797" s="220">
        <f>Table4[[#This Row],[VALUE]]*Table4[[#This Row],[QTD]]</f>
        <v>72</v>
      </c>
    </row>
    <row r="798" spans="1:19" ht="15" hidden="1" customHeight="1" x14ac:dyDescent="0.2">
      <c r="A798" s="221"/>
      <c r="B798" s="180"/>
      <c r="C798" s="196">
        <v>45689</v>
      </c>
      <c r="D798" s="107" t="s">
        <v>285</v>
      </c>
      <c r="E798" s="112" t="s">
        <v>19</v>
      </c>
      <c r="F798" s="112" t="s">
        <v>600</v>
      </c>
      <c r="G798" s="107" t="s">
        <v>287</v>
      </c>
      <c r="H798" s="96" t="s">
        <v>288</v>
      </c>
      <c r="I798" s="107" t="s">
        <v>289</v>
      </c>
      <c r="J798" s="107" t="s">
        <v>453</v>
      </c>
      <c r="K798" s="133"/>
      <c r="L798" s="107" t="s">
        <v>222</v>
      </c>
      <c r="M798" s="96">
        <v>7901</v>
      </c>
      <c r="N798" s="96">
        <v>371011</v>
      </c>
      <c r="O798" s="103"/>
      <c r="P798" s="96">
        <v>2</v>
      </c>
      <c r="Q798" s="197" t="s">
        <v>26</v>
      </c>
      <c r="R798" s="198">
        <v>278</v>
      </c>
      <c r="S798" s="220">
        <f>Table4[[#This Row],[VALUE]]*Table4[[#This Row],[QTD]]</f>
        <v>556</v>
      </c>
    </row>
    <row r="799" spans="1:19" ht="15" hidden="1" customHeight="1" x14ac:dyDescent="0.2">
      <c r="A799" s="221"/>
      <c r="B799" s="180"/>
      <c r="C799" s="196">
        <v>45689</v>
      </c>
      <c r="D799" s="107" t="s">
        <v>285</v>
      </c>
      <c r="E799" s="112" t="s">
        <v>19</v>
      </c>
      <c r="F799" s="112" t="s">
        <v>600</v>
      </c>
      <c r="G799" s="107" t="s">
        <v>287</v>
      </c>
      <c r="H799" s="96" t="s">
        <v>288</v>
      </c>
      <c r="I799" s="107" t="s">
        <v>289</v>
      </c>
      <c r="J799" s="107" t="s">
        <v>453</v>
      </c>
      <c r="K799" s="133"/>
      <c r="L799" s="107" t="s">
        <v>222</v>
      </c>
      <c r="M799" s="96">
        <v>7901</v>
      </c>
      <c r="N799" s="96">
        <v>371011</v>
      </c>
      <c r="O799" s="103"/>
      <c r="P799" s="96">
        <v>2</v>
      </c>
      <c r="Q799" s="197" t="s">
        <v>26</v>
      </c>
      <c r="R799" s="198">
        <v>278</v>
      </c>
      <c r="S799" s="220">
        <f>Table4[[#This Row],[VALUE]]*Table4[[#This Row],[QTD]]</f>
        <v>556</v>
      </c>
    </row>
    <row r="800" spans="1:19" ht="15" hidden="1" customHeight="1" x14ac:dyDescent="0.2">
      <c r="A800" s="221"/>
      <c r="B800" s="180"/>
      <c r="C800" s="196">
        <v>45689</v>
      </c>
      <c r="D800" s="107" t="s">
        <v>285</v>
      </c>
      <c r="E800" s="112" t="s">
        <v>19</v>
      </c>
      <c r="F800" s="112" t="s">
        <v>600</v>
      </c>
      <c r="G800" s="107" t="s">
        <v>287</v>
      </c>
      <c r="H800" s="96" t="s">
        <v>288</v>
      </c>
      <c r="I800" s="107" t="s">
        <v>289</v>
      </c>
      <c r="J800" s="107" t="s">
        <v>642</v>
      </c>
      <c r="K800" s="133"/>
      <c r="L800" s="107" t="s">
        <v>222</v>
      </c>
      <c r="M800" s="96">
        <v>7901</v>
      </c>
      <c r="N800" s="96">
        <v>371011</v>
      </c>
      <c r="O800" s="103"/>
      <c r="P800" s="96">
        <v>4</v>
      </c>
      <c r="Q800" s="197" t="s">
        <v>26</v>
      </c>
      <c r="R800" s="198">
        <v>127</v>
      </c>
      <c r="S800" s="220">
        <f>Table4[[#This Row],[VALUE]]*Table4[[#This Row],[QTD]]</f>
        <v>508</v>
      </c>
    </row>
    <row r="801" spans="1:19" ht="15" customHeight="1" x14ac:dyDescent="0.2">
      <c r="A801" s="221"/>
      <c r="B801" s="180"/>
      <c r="C801" s="196">
        <v>45726</v>
      </c>
      <c r="D801" s="107" t="s">
        <v>285</v>
      </c>
      <c r="E801" s="107" t="s">
        <v>52</v>
      </c>
      <c r="F801" s="112" t="s">
        <v>600</v>
      </c>
      <c r="G801" s="107" t="s">
        <v>287</v>
      </c>
      <c r="H801" s="96" t="s">
        <v>288</v>
      </c>
      <c r="I801" s="107" t="s">
        <v>289</v>
      </c>
      <c r="J801" s="107" t="s">
        <v>453</v>
      </c>
      <c r="K801" s="133"/>
      <c r="L801" s="107" t="s">
        <v>576</v>
      </c>
      <c r="M801" s="96">
        <v>7901</v>
      </c>
      <c r="N801" s="96">
        <v>371011</v>
      </c>
      <c r="O801" s="103"/>
      <c r="P801" s="96">
        <v>1</v>
      </c>
      <c r="Q801" s="197" t="s">
        <v>26</v>
      </c>
      <c r="R801" s="198">
        <v>278</v>
      </c>
      <c r="S801" s="223">
        <f>Table4[[#This Row],[VALUE]]*Table4[[#This Row],[QTD]]</f>
        <v>278</v>
      </c>
    </row>
    <row r="802" spans="1:19" ht="15" customHeight="1" x14ac:dyDescent="0.2">
      <c r="A802" s="221"/>
      <c r="B802" s="180"/>
      <c r="C802" s="196">
        <v>45726</v>
      </c>
      <c r="D802" s="107" t="s">
        <v>285</v>
      </c>
      <c r="E802" s="107" t="s">
        <v>52</v>
      </c>
      <c r="F802" s="112" t="s">
        <v>600</v>
      </c>
      <c r="G802" s="107" t="s">
        <v>287</v>
      </c>
      <c r="H802" s="96" t="s">
        <v>288</v>
      </c>
      <c r="I802" s="107" t="s">
        <v>289</v>
      </c>
      <c r="J802" s="107" t="s">
        <v>650</v>
      </c>
      <c r="K802" s="133"/>
      <c r="L802" s="107" t="s">
        <v>576</v>
      </c>
      <c r="M802" s="96">
        <v>7901</v>
      </c>
      <c r="N802" s="96">
        <v>371011</v>
      </c>
      <c r="O802" s="103"/>
      <c r="P802" s="96">
        <v>40</v>
      </c>
      <c r="Q802" s="197" t="s">
        <v>26</v>
      </c>
      <c r="R802" s="198">
        <v>5.5</v>
      </c>
      <c r="S802" s="223">
        <f>Table4[[#This Row],[VALUE]]*Table4[[#This Row],[QTD]]</f>
        <v>220</v>
      </c>
    </row>
    <row r="803" spans="1:19" ht="15" customHeight="1" x14ac:dyDescent="0.2">
      <c r="A803" s="221"/>
      <c r="B803" s="180"/>
      <c r="C803" s="196">
        <v>45726</v>
      </c>
      <c r="D803" s="107" t="s">
        <v>285</v>
      </c>
      <c r="E803" s="107" t="s">
        <v>557</v>
      </c>
      <c r="F803" s="112" t="s">
        <v>593</v>
      </c>
      <c r="G803" s="107" t="s">
        <v>287</v>
      </c>
      <c r="H803" s="96" t="s">
        <v>288</v>
      </c>
      <c r="I803" s="107" t="s">
        <v>289</v>
      </c>
      <c r="J803" s="107" t="s">
        <v>586</v>
      </c>
      <c r="K803" s="133"/>
      <c r="L803" s="107" t="s">
        <v>576</v>
      </c>
      <c r="M803" s="96">
        <v>7901</v>
      </c>
      <c r="N803" s="96">
        <v>371011</v>
      </c>
      <c r="O803" s="103"/>
      <c r="P803" s="96">
        <v>15</v>
      </c>
      <c r="Q803" s="197" t="s">
        <v>26</v>
      </c>
      <c r="R803" s="198">
        <v>45</v>
      </c>
      <c r="S803" s="223">
        <f>Table4[[#This Row],[VALUE]]*Table4[[#This Row],[QTD]]</f>
        <v>675</v>
      </c>
    </row>
    <row r="804" spans="1:19" ht="15" customHeight="1" x14ac:dyDescent="0.2">
      <c r="B804" s="180"/>
      <c r="C804" s="196">
        <v>45726</v>
      </c>
      <c r="D804" s="107" t="s">
        <v>285</v>
      </c>
      <c r="E804" s="107" t="s">
        <v>557</v>
      </c>
      <c r="F804" s="112" t="s">
        <v>593</v>
      </c>
      <c r="G804" s="107" t="s">
        <v>287</v>
      </c>
      <c r="H804" s="96" t="s">
        <v>288</v>
      </c>
      <c r="I804" s="107" t="s">
        <v>289</v>
      </c>
      <c r="J804" s="107" t="s">
        <v>447</v>
      </c>
      <c r="K804" s="133"/>
      <c r="L804" s="107" t="s">
        <v>576</v>
      </c>
      <c r="M804" s="96">
        <v>7901</v>
      </c>
      <c r="N804" s="96">
        <v>371011</v>
      </c>
      <c r="O804" s="103"/>
      <c r="P804" s="96">
        <v>1</v>
      </c>
      <c r="Q804" s="197" t="s">
        <v>26</v>
      </c>
      <c r="R804" s="198">
        <v>420</v>
      </c>
      <c r="S804" s="223">
        <f>Table4[[#This Row],[VALUE]]*Table4[[#This Row],[QTD]]</f>
        <v>420</v>
      </c>
    </row>
    <row r="805" spans="1:19" ht="15" customHeight="1" x14ac:dyDescent="0.2">
      <c r="B805" s="180"/>
      <c r="C805" s="196">
        <v>45726</v>
      </c>
      <c r="D805" s="107" t="s">
        <v>285</v>
      </c>
      <c r="E805" s="107" t="s">
        <v>557</v>
      </c>
      <c r="F805" s="112" t="s">
        <v>593</v>
      </c>
      <c r="G805" s="107" t="s">
        <v>287</v>
      </c>
      <c r="H805" s="96" t="s">
        <v>288</v>
      </c>
      <c r="I805" s="107" t="s">
        <v>289</v>
      </c>
      <c r="J805" s="107" t="s">
        <v>588</v>
      </c>
      <c r="K805" s="133"/>
      <c r="L805" s="107" t="s">
        <v>576</v>
      </c>
      <c r="M805" s="96">
        <v>7901</v>
      </c>
      <c r="N805" s="96">
        <v>371011</v>
      </c>
      <c r="O805" s="103"/>
      <c r="P805" s="96">
        <v>16</v>
      </c>
      <c r="Q805" s="197" t="s">
        <v>26</v>
      </c>
      <c r="R805" s="198">
        <v>32.4</v>
      </c>
      <c r="S805" s="223">
        <f>Table4[[#This Row],[VALUE]]*Table4[[#This Row],[QTD]]</f>
        <v>518.4</v>
      </c>
    </row>
    <row r="806" spans="1:19" ht="15" customHeight="1" x14ac:dyDescent="0.2">
      <c r="B806" s="180"/>
      <c r="C806" s="196">
        <v>45726</v>
      </c>
      <c r="D806" s="107" t="s">
        <v>285</v>
      </c>
      <c r="E806" s="107" t="s">
        <v>557</v>
      </c>
      <c r="F806" s="112" t="s">
        <v>593</v>
      </c>
      <c r="G806" s="107" t="s">
        <v>287</v>
      </c>
      <c r="H806" s="96" t="s">
        <v>288</v>
      </c>
      <c r="I806" s="107" t="s">
        <v>289</v>
      </c>
      <c r="J806" s="107" t="s">
        <v>651</v>
      </c>
      <c r="K806" s="133"/>
      <c r="L806" s="107" t="s">
        <v>576</v>
      </c>
      <c r="M806" s="96">
        <v>7901</v>
      </c>
      <c r="N806" s="96">
        <v>371011</v>
      </c>
      <c r="O806" s="103"/>
      <c r="P806" s="96">
        <v>16</v>
      </c>
      <c r="Q806" s="197" t="s">
        <v>26</v>
      </c>
      <c r="R806" s="198">
        <v>142</v>
      </c>
      <c r="S806" s="223">
        <f>Table4[[#This Row],[VALUE]]*Table4[[#This Row],[QTD]]</f>
        <v>2272</v>
      </c>
    </row>
    <row r="807" spans="1:19" ht="15" customHeight="1" x14ac:dyDescent="0.2">
      <c r="B807" s="180"/>
      <c r="C807" s="196">
        <v>45726</v>
      </c>
      <c r="D807" s="107" t="s">
        <v>285</v>
      </c>
      <c r="E807" s="107" t="s">
        <v>557</v>
      </c>
      <c r="F807" s="112" t="s">
        <v>593</v>
      </c>
      <c r="G807" s="107" t="s">
        <v>287</v>
      </c>
      <c r="H807" s="96" t="s">
        <v>288</v>
      </c>
      <c r="I807" s="107" t="s">
        <v>289</v>
      </c>
      <c r="J807" s="107" t="s">
        <v>652</v>
      </c>
      <c r="K807" s="133"/>
      <c r="L807" s="107" t="s">
        <v>576</v>
      </c>
      <c r="M807" s="96">
        <v>7901</v>
      </c>
      <c r="N807" s="96">
        <v>371011</v>
      </c>
      <c r="O807" s="103"/>
      <c r="P807" s="96">
        <v>10</v>
      </c>
      <c r="Q807" s="197" t="s">
        <v>26</v>
      </c>
      <c r="R807" s="198">
        <v>51</v>
      </c>
      <c r="S807" s="223">
        <f>Table4[[#This Row],[VALUE]]*Table4[[#This Row],[QTD]]</f>
        <v>510</v>
      </c>
    </row>
    <row r="808" spans="1:19" ht="15" customHeight="1" x14ac:dyDescent="0.2">
      <c r="B808" s="180"/>
      <c r="C808" s="196">
        <v>45726</v>
      </c>
      <c r="D808" s="107" t="s">
        <v>285</v>
      </c>
      <c r="E808" s="107" t="s">
        <v>557</v>
      </c>
      <c r="F808" s="112" t="s">
        <v>593</v>
      </c>
      <c r="G808" s="107" t="s">
        <v>287</v>
      </c>
      <c r="H808" s="96" t="s">
        <v>288</v>
      </c>
      <c r="I808" s="107" t="s">
        <v>289</v>
      </c>
      <c r="J808" s="107" t="s">
        <v>653</v>
      </c>
      <c r="K808" s="133"/>
      <c r="L808" s="107" t="s">
        <v>576</v>
      </c>
      <c r="M808" s="96">
        <v>7901</v>
      </c>
      <c r="N808" s="96">
        <v>371011</v>
      </c>
      <c r="O808" s="103"/>
      <c r="P808" s="96">
        <v>5</v>
      </c>
      <c r="Q808" s="197" t="s">
        <v>26</v>
      </c>
      <c r="R808" s="198">
        <v>74.8</v>
      </c>
      <c r="S808" s="223">
        <f>Table4[[#This Row],[VALUE]]*Table4[[#This Row],[QTD]]</f>
        <v>374</v>
      </c>
    </row>
    <row r="809" spans="1:19" ht="15" customHeight="1" x14ac:dyDescent="0.2">
      <c r="B809" s="180"/>
      <c r="C809" s="196">
        <v>45740</v>
      </c>
      <c r="D809" s="107" t="s">
        <v>285</v>
      </c>
      <c r="E809" s="107" t="s">
        <v>74</v>
      </c>
      <c r="F809" s="112" t="s">
        <v>600</v>
      </c>
      <c r="G809" s="107" t="s">
        <v>287</v>
      </c>
      <c r="H809" s="96" t="s">
        <v>288</v>
      </c>
      <c r="I809" s="107" t="s">
        <v>289</v>
      </c>
      <c r="J809" s="1" t="s">
        <v>654</v>
      </c>
      <c r="K809" s="133"/>
      <c r="L809" s="107" t="s">
        <v>576</v>
      </c>
      <c r="M809" s="96">
        <v>7901</v>
      </c>
      <c r="N809" s="96">
        <v>371011</v>
      </c>
      <c r="O809" s="103"/>
      <c r="P809" s="96">
        <v>2</v>
      </c>
      <c r="Q809" s="197" t="s">
        <v>26</v>
      </c>
      <c r="R809" s="198">
        <v>278</v>
      </c>
      <c r="S809" s="223">
        <f>Table4[[#This Row],[VALUE]]*Table4[[#This Row],[QTD]]</f>
        <v>556</v>
      </c>
    </row>
    <row r="810" spans="1:19" ht="15" customHeight="1" x14ac:dyDescent="0.2">
      <c r="B810" s="180"/>
      <c r="C810" s="196">
        <v>45740</v>
      </c>
      <c r="D810" s="107" t="s">
        <v>285</v>
      </c>
      <c r="E810" s="107" t="s">
        <v>74</v>
      </c>
      <c r="F810" s="112" t="s">
        <v>600</v>
      </c>
      <c r="G810" s="107" t="s">
        <v>287</v>
      </c>
      <c r="H810" s="96" t="s">
        <v>288</v>
      </c>
      <c r="I810" s="107" t="s">
        <v>289</v>
      </c>
      <c r="J810" s="1" t="s">
        <v>655</v>
      </c>
      <c r="K810" s="133"/>
      <c r="L810" s="107" t="s">
        <v>576</v>
      </c>
      <c r="M810" s="96">
        <v>7901</v>
      </c>
      <c r="N810" s="96">
        <v>371011</v>
      </c>
      <c r="O810" s="103"/>
      <c r="P810" s="96">
        <v>1</v>
      </c>
      <c r="Q810" s="197" t="s">
        <v>26</v>
      </c>
      <c r="R810" s="198">
        <v>172</v>
      </c>
      <c r="S810" s="223">
        <f>Table4[[#This Row],[VALUE]]*Table4[[#This Row],[QTD]]</f>
        <v>172</v>
      </c>
    </row>
    <row r="811" spans="1:19" ht="15" customHeight="1" x14ac:dyDescent="0.2">
      <c r="B811" s="180"/>
      <c r="C811" s="196">
        <v>45740</v>
      </c>
      <c r="D811" s="107" t="s">
        <v>285</v>
      </c>
      <c r="E811" s="107" t="s">
        <v>74</v>
      </c>
      <c r="F811" s="112" t="s">
        <v>600</v>
      </c>
      <c r="G811" s="107" t="s">
        <v>287</v>
      </c>
      <c r="H811" s="96" t="s">
        <v>288</v>
      </c>
      <c r="I811" s="107" t="s">
        <v>289</v>
      </c>
      <c r="J811" s="1" t="s">
        <v>656</v>
      </c>
      <c r="K811" s="133"/>
      <c r="L811" s="107" t="s">
        <v>576</v>
      </c>
      <c r="M811" s="96">
        <v>7901</v>
      </c>
      <c r="N811" s="96">
        <v>371011</v>
      </c>
      <c r="O811" s="103"/>
      <c r="P811" s="96">
        <v>2</v>
      </c>
      <c r="Q811" s="197" t="s">
        <v>26</v>
      </c>
      <c r="R811" s="198">
        <v>28</v>
      </c>
      <c r="S811" s="223">
        <f>Table4[[#This Row],[VALUE]]*Table4[[#This Row],[QTD]]</f>
        <v>56</v>
      </c>
    </row>
    <row r="812" spans="1:19" ht="15" customHeight="1" x14ac:dyDescent="0.2">
      <c r="B812" s="180"/>
      <c r="C812" s="196">
        <v>45735</v>
      </c>
      <c r="D812" s="107" t="s">
        <v>285</v>
      </c>
      <c r="E812" s="107" t="s">
        <v>19</v>
      </c>
      <c r="F812" s="112" t="s">
        <v>600</v>
      </c>
      <c r="G812" s="107" t="s">
        <v>287</v>
      </c>
      <c r="H812" s="96" t="s">
        <v>288</v>
      </c>
      <c r="I812" s="107" t="s">
        <v>289</v>
      </c>
      <c r="J812" s="1" t="s">
        <v>657</v>
      </c>
      <c r="K812" s="133"/>
      <c r="L812" s="107" t="s">
        <v>576</v>
      </c>
      <c r="M812" s="96">
        <v>7901</v>
      </c>
      <c r="N812" s="96">
        <v>371011</v>
      </c>
      <c r="O812" s="103"/>
      <c r="P812" s="96">
        <v>24</v>
      </c>
      <c r="Q812" s="197" t="s">
        <v>26</v>
      </c>
      <c r="R812" s="198">
        <v>2.5</v>
      </c>
      <c r="S812" s="223">
        <f>Table4[[#This Row],[VALUE]]*Table4[[#This Row],[QTD]]</f>
        <v>60</v>
      </c>
    </row>
    <row r="813" spans="1:19" ht="15" customHeight="1" x14ac:dyDescent="0.2">
      <c r="B813" s="180"/>
      <c r="C813" s="196">
        <v>45735</v>
      </c>
      <c r="D813" s="107" t="s">
        <v>285</v>
      </c>
      <c r="E813" s="107" t="s">
        <v>19</v>
      </c>
      <c r="F813" s="112" t="s">
        <v>600</v>
      </c>
      <c r="G813" s="107" t="s">
        <v>287</v>
      </c>
      <c r="H813" s="96" t="s">
        <v>288</v>
      </c>
      <c r="I813" s="107" t="s">
        <v>289</v>
      </c>
      <c r="J813" s="1" t="s">
        <v>657</v>
      </c>
      <c r="K813" s="133"/>
      <c r="L813" s="107" t="s">
        <v>576</v>
      </c>
      <c r="M813" s="96">
        <v>7901</v>
      </c>
      <c r="N813" s="96">
        <v>371011</v>
      </c>
      <c r="O813" s="103"/>
      <c r="P813" s="96">
        <v>30</v>
      </c>
      <c r="Q813" s="197" t="s">
        <v>26</v>
      </c>
      <c r="R813" s="198">
        <v>12</v>
      </c>
      <c r="S813" s="223">
        <f>Table4[[#This Row],[VALUE]]*Table4[[#This Row],[QTD]]</f>
        <v>360</v>
      </c>
    </row>
    <row r="814" spans="1:19" ht="15" customHeight="1" x14ac:dyDescent="0.2">
      <c r="B814" s="180"/>
      <c r="C814" s="196">
        <v>45735</v>
      </c>
      <c r="D814" s="107" t="s">
        <v>285</v>
      </c>
      <c r="E814" s="107" t="s">
        <v>19</v>
      </c>
      <c r="F814" s="112" t="s">
        <v>600</v>
      </c>
      <c r="G814" s="107" t="s">
        <v>287</v>
      </c>
      <c r="H814" s="96" t="s">
        <v>288</v>
      </c>
      <c r="I814" s="107" t="s">
        <v>289</v>
      </c>
      <c r="J814" s="1" t="s">
        <v>657</v>
      </c>
      <c r="K814" s="133"/>
      <c r="L814" s="107" t="s">
        <v>576</v>
      </c>
      <c r="M814" s="96">
        <v>7901</v>
      </c>
      <c r="N814" s="96">
        <v>371011</v>
      </c>
      <c r="O814" s="103"/>
      <c r="P814" s="96">
        <v>12</v>
      </c>
      <c r="Q814" s="197" t="s">
        <v>26</v>
      </c>
      <c r="R814" s="198">
        <v>4.9000000000000004</v>
      </c>
      <c r="S814" s="223">
        <f>Table4[[#This Row],[VALUE]]*Table4[[#This Row],[QTD]]</f>
        <v>58.800000000000004</v>
      </c>
    </row>
    <row r="815" spans="1:19" ht="15" customHeight="1" x14ac:dyDescent="0.2">
      <c r="B815" s="180"/>
      <c r="C815" s="196">
        <v>45735</v>
      </c>
      <c r="D815" s="107" t="s">
        <v>285</v>
      </c>
      <c r="E815" s="107" t="s">
        <v>19</v>
      </c>
      <c r="F815" s="112" t="s">
        <v>600</v>
      </c>
      <c r="G815" s="107" t="s">
        <v>287</v>
      </c>
      <c r="H815" s="96" t="s">
        <v>288</v>
      </c>
      <c r="I815" s="107" t="s">
        <v>289</v>
      </c>
      <c r="J815" s="1" t="s">
        <v>658</v>
      </c>
      <c r="K815" s="133"/>
      <c r="L815" s="107" t="s">
        <v>576</v>
      </c>
      <c r="M815" s="96">
        <v>7901</v>
      </c>
      <c r="N815" s="96">
        <v>371011</v>
      </c>
      <c r="O815" s="103"/>
      <c r="P815" s="96">
        <v>16</v>
      </c>
      <c r="Q815" s="197" t="s">
        <v>26</v>
      </c>
      <c r="R815" s="198">
        <v>127</v>
      </c>
      <c r="S815" s="223">
        <f>Table4[[#This Row],[VALUE]]*Table4[[#This Row],[QTD]]</f>
        <v>2032</v>
      </c>
    </row>
    <row r="816" spans="1:19" ht="15" customHeight="1" x14ac:dyDescent="0.2">
      <c r="B816" s="180"/>
      <c r="C816" s="196">
        <v>45737</v>
      </c>
      <c r="D816" s="107" t="s">
        <v>285</v>
      </c>
      <c r="E816" s="107" t="s">
        <v>74</v>
      </c>
      <c r="F816" s="112" t="s">
        <v>600</v>
      </c>
      <c r="G816" s="107" t="s">
        <v>287</v>
      </c>
      <c r="H816" s="96" t="s">
        <v>288</v>
      </c>
      <c r="I816" s="107" t="s">
        <v>289</v>
      </c>
      <c r="J816" s="1" t="s">
        <v>658</v>
      </c>
      <c r="K816" s="133"/>
      <c r="L816" s="107" t="s">
        <v>576</v>
      </c>
      <c r="M816" s="96">
        <v>7901</v>
      </c>
      <c r="N816" s="96">
        <v>371011</v>
      </c>
      <c r="O816" s="103"/>
      <c r="P816" s="96">
        <v>8</v>
      </c>
      <c r="Q816" s="197" t="s">
        <v>26</v>
      </c>
      <c r="R816" s="198">
        <v>127</v>
      </c>
      <c r="S816" s="223">
        <f>Table4[[#This Row],[VALUE]]*Table4[[#This Row],[QTD]]</f>
        <v>1016</v>
      </c>
    </row>
    <row r="817" spans="2:19" ht="15" customHeight="1" x14ac:dyDescent="0.2">
      <c r="B817" s="180"/>
      <c r="C817" s="196">
        <v>45737</v>
      </c>
      <c r="D817" s="107" t="s">
        <v>285</v>
      </c>
      <c r="E817" s="107" t="s">
        <v>74</v>
      </c>
      <c r="F817" s="112" t="s">
        <v>600</v>
      </c>
      <c r="G817" s="107" t="s">
        <v>287</v>
      </c>
      <c r="H817" s="96" t="s">
        <v>288</v>
      </c>
      <c r="I817" s="107" t="s">
        <v>289</v>
      </c>
      <c r="J817" s="1" t="s">
        <v>659</v>
      </c>
      <c r="K817" s="133"/>
      <c r="L817" s="107" t="s">
        <v>576</v>
      </c>
      <c r="M817" s="96">
        <v>7901</v>
      </c>
      <c r="N817" s="96">
        <v>371011</v>
      </c>
      <c r="O817" s="103"/>
      <c r="P817" s="96">
        <v>10</v>
      </c>
      <c r="Q817" s="197" t="s">
        <v>26</v>
      </c>
      <c r="R817" s="198">
        <v>18</v>
      </c>
      <c r="S817" s="223">
        <f>Table4[[#This Row],[VALUE]]*Table4[[#This Row],[QTD]]</f>
        <v>180</v>
      </c>
    </row>
    <row r="818" spans="2:19" ht="15" customHeight="1" x14ac:dyDescent="0.2">
      <c r="B818" s="180"/>
      <c r="C818" s="196">
        <v>45737</v>
      </c>
      <c r="D818" s="107" t="s">
        <v>285</v>
      </c>
      <c r="E818" s="107" t="s">
        <v>74</v>
      </c>
      <c r="F818" s="112" t="s">
        <v>600</v>
      </c>
      <c r="G818" s="107" t="s">
        <v>287</v>
      </c>
      <c r="H818" s="96" t="s">
        <v>288</v>
      </c>
      <c r="I818" s="107" t="s">
        <v>289</v>
      </c>
      <c r="J818" s="1" t="s">
        <v>660</v>
      </c>
      <c r="K818" s="133"/>
      <c r="L818" s="107" t="s">
        <v>576</v>
      </c>
      <c r="M818" s="96">
        <v>7901</v>
      </c>
      <c r="N818" s="96">
        <v>371011</v>
      </c>
      <c r="O818" s="103"/>
      <c r="P818" s="96">
        <v>3</v>
      </c>
      <c r="Q818" s="197" t="s">
        <v>26</v>
      </c>
      <c r="R818" s="198">
        <v>31.4</v>
      </c>
      <c r="S818" s="223">
        <f>Table4[[#This Row],[VALUE]]*Table4[[#This Row],[QTD]]</f>
        <v>94.199999999999989</v>
      </c>
    </row>
    <row r="819" spans="2:19" ht="15" customHeight="1" x14ac:dyDescent="0.2">
      <c r="B819" s="180"/>
      <c r="C819" s="196">
        <v>45737</v>
      </c>
      <c r="D819" s="107" t="s">
        <v>285</v>
      </c>
      <c r="E819" s="107" t="s">
        <v>74</v>
      </c>
      <c r="F819" s="112" t="s">
        <v>600</v>
      </c>
      <c r="G819" s="107" t="s">
        <v>287</v>
      </c>
      <c r="H819" s="96" t="s">
        <v>288</v>
      </c>
      <c r="I819" s="107" t="s">
        <v>289</v>
      </c>
      <c r="J819" s="1" t="s">
        <v>661</v>
      </c>
      <c r="K819" s="133"/>
      <c r="L819" s="107" t="s">
        <v>576</v>
      </c>
      <c r="M819" s="96">
        <v>7901</v>
      </c>
      <c r="N819" s="96">
        <v>371011</v>
      </c>
      <c r="O819" s="103"/>
      <c r="P819" s="96">
        <v>10</v>
      </c>
      <c r="Q819" s="197" t="s">
        <v>26</v>
      </c>
      <c r="R819" s="198">
        <v>47</v>
      </c>
      <c r="S819" s="223">
        <f>Table4[[#This Row],[VALUE]]*Table4[[#This Row],[QTD]]</f>
        <v>470</v>
      </c>
    </row>
    <row r="820" spans="2:19" ht="15" customHeight="1" x14ac:dyDescent="0.2">
      <c r="B820" s="180"/>
      <c r="C820" s="196">
        <v>45729</v>
      </c>
      <c r="D820" s="107" t="s">
        <v>285</v>
      </c>
      <c r="E820" s="107" t="s">
        <v>74</v>
      </c>
      <c r="F820" s="112" t="s">
        <v>600</v>
      </c>
      <c r="G820" s="107" t="s">
        <v>287</v>
      </c>
      <c r="H820" s="96" t="s">
        <v>288</v>
      </c>
      <c r="I820" s="107" t="s">
        <v>289</v>
      </c>
      <c r="J820" s="1" t="s">
        <v>640</v>
      </c>
      <c r="K820" s="133"/>
      <c r="L820" s="107" t="s">
        <v>576</v>
      </c>
      <c r="M820" s="96">
        <v>7901</v>
      </c>
      <c r="N820" s="96">
        <v>371011</v>
      </c>
      <c r="O820" s="103"/>
      <c r="P820" s="96">
        <v>17</v>
      </c>
      <c r="Q820" s="197" t="s">
        <v>26</v>
      </c>
      <c r="R820" s="198">
        <v>12</v>
      </c>
      <c r="S820" s="223">
        <f>Table4[[#This Row],[VALUE]]*Table4[[#This Row],[QTD]]</f>
        <v>204</v>
      </c>
    </row>
    <row r="821" spans="2:19" ht="15" customHeight="1" x14ac:dyDescent="0.2">
      <c r="B821" s="180"/>
      <c r="C821" s="196">
        <v>45729</v>
      </c>
      <c r="D821" s="107" t="s">
        <v>285</v>
      </c>
      <c r="E821" s="107" t="s">
        <v>74</v>
      </c>
      <c r="F821" s="112" t="s">
        <v>600</v>
      </c>
      <c r="G821" s="107" t="s">
        <v>287</v>
      </c>
      <c r="H821" s="96" t="s">
        <v>288</v>
      </c>
      <c r="I821" s="107" t="s">
        <v>289</v>
      </c>
      <c r="J821" s="1" t="s">
        <v>662</v>
      </c>
      <c r="K821" s="133"/>
      <c r="L821" s="107" t="s">
        <v>576</v>
      </c>
      <c r="M821" s="96">
        <v>7901</v>
      </c>
      <c r="N821" s="96">
        <v>371011</v>
      </c>
      <c r="O821" s="103"/>
      <c r="P821" s="96">
        <v>8</v>
      </c>
      <c r="Q821" s="197" t="s">
        <v>26</v>
      </c>
      <c r="R821" s="198">
        <v>2.5</v>
      </c>
      <c r="S821" s="223">
        <f>Table4[[#This Row],[VALUE]]*Table4[[#This Row],[QTD]]</f>
        <v>20</v>
      </c>
    </row>
    <row r="822" spans="2:19" ht="15" customHeight="1" x14ac:dyDescent="0.2">
      <c r="B822" s="180"/>
      <c r="C822" s="196">
        <v>45729</v>
      </c>
      <c r="D822" s="107" t="s">
        <v>285</v>
      </c>
      <c r="E822" s="107" t="s">
        <v>74</v>
      </c>
      <c r="F822" s="112" t="s">
        <v>600</v>
      </c>
      <c r="G822" s="107" t="s">
        <v>287</v>
      </c>
      <c r="H822" s="96" t="s">
        <v>288</v>
      </c>
      <c r="I822" s="107" t="s">
        <v>289</v>
      </c>
      <c r="J822" s="1" t="s">
        <v>663</v>
      </c>
      <c r="K822" s="133"/>
      <c r="L822" s="107" t="s">
        <v>576</v>
      </c>
      <c r="M822" s="96">
        <v>7901</v>
      </c>
      <c r="N822" s="96">
        <v>371011</v>
      </c>
      <c r="O822" s="103"/>
      <c r="P822" s="96">
        <v>4</v>
      </c>
      <c r="Q822" s="197" t="s">
        <v>26</v>
      </c>
      <c r="R822" s="198">
        <v>16</v>
      </c>
      <c r="S822" s="223">
        <f>Table4[[#This Row],[VALUE]]*Table4[[#This Row],[QTD]]</f>
        <v>64</v>
      </c>
    </row>
    <row r="823" spans="2:19" ht="15" customHeight="1" x14ac:dyDescent="0.2">
      <c r="B823" s="180"/>
      <c r="C823" s="196">
        <v>45729</v>
      </c>
      <c r="D823" s="107" t="s">
        <v>285</v>
      </c>
      <c r="E823" s="107" t="s">
        <v>74</v>
      </c>
      <c r="F823" s="112" t="s">
        <v>600</v>
      </c>
      <c r="G823" s="107" t="s">
        <v>287</v>
      </c>
      <c r="H823" s="96" t="s">
        <v>288</v>
      </c>
      <c r="I823" s="107" t="s">
        <v>289</v>
      </c>
      <c r="J823" s="1" t="s">
        <v>664</v>
      </c>
      <c r="K823" s="133"/>
      <c r="L823" s="107" t="s">
        <v>576</v>
      </c>
      <c r="M823" s="96">
        <v>7901</v>
      </c>
      <c r="N823" s="96">
        <v>371011</v>
      </c>
      <c r="O823" s="103"/>
      <c r="P823" s="96">
        <v>10</v>
      </c>
      <c r="Q823" s="197" t="s">
        <v>26</v>
      </c>
      <c r="R823" s="198">
        <v>16.2</v>
      </c>
      <c r="S823" s="223">
        <f>Table4[[#This Row],[VALUE]]*Table4[[#This Row],[QTD]]</f>
        <v>162</v>
      </c>
    </row>
    <row r="824" spans="2:19" ht="15" customHeight="1" x14ac:dyDescent="0.2">
      <c r="B824" s="180"/>
      <c r="C824" s="196">
        <v>45729</v>
      </c>
      <c r="D824" s="107" t="s">
        <v>285</v>
      </c>
      <c r="E824" s="107" t="s">
        <v>74</v>
      </c>
      <c r="F824" s="112" t="s">
        <v>600</v>
      </c>
      <c r="G824" s="107" t="s">
        <v>287</v>
      </c>
      <c r="H824" s="96" t="s">
        <v>288</v>
      </c>
      <c r="I824" s="107" t="s">
        <v>289</v>
      </c>
      <c r="J824" s="1" t="s">
        <v>665</v>
      </c>
      <c r="K824" s="133"/>
      <c r="L824" s="107" t="s">
        <v>576</v>
      </c>
      <c r="M824" s="96">
        <v>7901</v>
      </c>
      <c r="N824" s="96">
        <v>371011</v>
      </c>
      <c r="O824" s="103"/>
      <c r="P824" s="96">
        <v>10</v>
      </c>
      <c r="Q824" s="197" t="s">
        <v>26</v>
      </c>
      <c r="R824" s="198">
        <v>13.5</v>
      </c>
      <c r="S824" s="223">
        <f>Table4[[#This Row],[VALUE]]*Table4[[#This Row],[QTD]]</f>
        <v>135</v>
      </c>
    </row>
    <row r="825" spans="2:19" ht="15" customHeight="1" x14ac:dyDescent="0.2">
      <c r="B825" s="180"/>
      <c r="C825" s="196">
        <v>45729</v>
      </c>
      <c r="D825" s="107" t="s">
        <v>285</v>
      </c>
      <c r="E825" s="107" t="s">
        <v>74</v>
      </c>
      <c r="F825" s="112" t="s">
        <v>600</v>
      </c>
      <c r="G825" s="107" t="s">
        <v>287</v>
      </c>
      <c r="H825" s="96" t="s">
        <v>288</v>
      </c>
      <c r="I825" s="107" t="s">
        <v>289</v>
      </c>
      <c r="J825" s="1" t="s">
        <v>666</v>
      </c>
      <c r="K825" s="133"/>
      <c r="L825" s="107" t="s">
        <v>576</v>
      </c>
      <c r="M825" s="96">
        <v>7901</v>
      </c>
      <c r="N825" s="96">
        <v>371011</v>
      </c>
      <c r="O825" s="103"/>
      <c r="P825" s="96">
        <v>10</v>
      </c>
      <c r="Q825" s="197" t="s">
        <v>26</v>
      </c>
      <c r="R825" s="198">
        <v>27</v>
      </c>
      <c r="S825" s="223">
        <f>Table4[[#This Row],[VALUE]]*Table4[[#This Row],[QTD]]</f>
        <v>270</v>
      </c>
    </row>
    <row r="826" spans="2:19" ht="15" customHeight="1" x14ac:dyDescent="0.2">
      <c r="B826" s="180"/>
      <c r="C826" s="196">
        <v>45729</v>
      </c>
      <c r="D826" s="107" t="s">
        <v>285</v>
      </c>
      <c r="E826" s="107" t="s">
        <v>74</v>
      </c>
      <c r="F826" s="112" t="s">
        <v>600</v>
      </c>
      <c r="G826" s="107" t="s">
        <v>287</v>
      </c>
      <c r="H826" s="96" t="s">
        <v>288</v>
      </c>
      <c r="I826" s="107" t="s">
        <v>289</v>
      </c>
      <c r="J826" s="1" t="s">
        <v>667</v>
      </c>
      <c r="K826" s="133"/>
      <c r="L826" s="107" t="s">
        <v>576</v>
      </c>
      <c r="M826" s="96">
        <v>7901</v>
      </c>
      <c r="N826" s="96">
        <v>371011</v>
      </c>
      <c r="O826" s="103"/>
      <c r="P826" s="96">
        <v>10</v>
      </c>
      <c r="Q826" s="197" t="s">
        <v>26</v>
      </c>
      <c r="R826" s="198">
        <v>30</v>
      </c>
      <c r="S826" s="223">
        <f>Table4[[#This Row],[VALUE]]*Table4[[#This Row],[QTD]]</f>
        <v>300</v>
      </c>
    </row>
    <row r="827" spans="2:19" ht="15" customHeight="1" x14ac:dyDescent="0.2">
      <c r="B827" s="180"/>
      <c r="C827" s="196">
        <v>45729</v>
      </c>
      <c r="D827" s="107" t="s">
        <v>285</v>
      </c>
      <c r="E827" s="107" t="s">
        <v>74</v>
      </c>
      <c r="F827" s="112" t="s">
        <v>600</v>
      </c>
      <c r="G827" s="107" t="s">
        <v>287</v>
      </c>
      <c r="H827" s="96" t="s">
        <v>288</v>
      </c>
      <c r="I827" s="107" t="s">
        <v>289</v>
      </c>
      <c r="J827" s="1" t="s">
        <v>668</v>
      </c>
      <c r="K827" s="133"/>
      <c r="L827" s="107" t="s">
        <v>576</v>
      </c>
      <c r="M827" s="96">
        <v>7901</v>
      </c>
      <c r="N827" s="96">
        <v>371011</v>
      </c>
      <c r="O827" s="103"/>
      <c r="P827" s="96">
        <v>1</v>
      </c>
      <c r="Q827" s="197" t="s">
        <v>26</v>
      </c>
      <c r="R827" s="198">
        <v>127</v>
      </c>
      <c r="S827" s="223">
        <f>Table4[[#This Row],[VALUE]]*Table4[[#This Row],[QTD]]</f>
        <v>127</v>
      </c>
    </row>
    <row r="828" spans="2:19" ht="15" customHeight="1" x14ac:dyDescent="0.2">
      <c r="B828" s="180"/>
      <c r="C828" s="196">
        <v>45729</v>
      </c>
      <c r="D828" s="107" t="s">
        <v>285</v>
      </c>
      <c r="E828" s="107" t="s">
        <v>74</v>
      </c>
      <c r="F828" s="112" t="s">
        <v>600</v>
      </c>
      <c r="G828" s="107" t="s">
        <v>287</v>
      </c>
      <c r="H828" s="96" t="s">
        <v>288</v>
      </c>
      <c r="I828" s="107" t="s">
        <v>289</v>
      </c>
      <c r="J828" s="1" t="s">
        <v>669</v>
      </c>
      <c r="K828" s="133"/>
      <c r="L828" s="107" t="s">
        <v>576</v>
      </c>
      <c r="M828" s="96">
        <v>7901</v>
      </c>
      <c r="N828" s="96">
        <v>371011</v>
      </c>
      <c r="O828" s="103"/>
      <c r="P828" s="96">
        <v>1</v>
      </c>
      <c r="Q828" s="197" t="s">
        <v>26</v>
      </c>
      <c r="R828" s="198">
        <v>325</v>
      </c>
      <c r="S828" s="223">
        <f>Table4[[#This Row],[VALUE]]*Table4[[#This Row],[QTD]]</f>
        <v>325</v>
      </c>
    </row>
    <row r="829" spans="2:19" ht="15" customHeight="1" x14ac:dyDescent="0.2">
      <c r="B829" s="180"/>
      <c r="C829" s="196">
        <v>45729</v>
      </c>
      <c r="D829" s="107" t="s">
        <v>285</v>
      </c>
      <c r="E829" s="107" t="s">
        <v>74</v>
      </c>
      <c r="F829" s="112" t="s">
        <v>600</v>
      </c>
      <c r="G829" s="107" t="s">
        <v>287</v>
      </c>
      <c r="H829" s="96" t="s">
        <v>288</v>
      </c>
      <c r="I829" s="107" t="s">
        <v>289</v>
      </c>
      <c r="J829" s="1" t="s">
        <v>670</v>
      </c>
      <c r="K829" s="133"/>
      <c r="L829" s="107" t="s">
        <v>576</v>
      </c>
      <c r="M829" s="96">
        <v>7901</v>
      </c>
      <c r="N829" s="96">
        <v>371011</v>
      </c>
      <c r="O829" s="103"/>
      <c r="P829" s="96">
        <v>1</v>
      </c>
      <c r="Q829" s="197" t="s">
        <v>26</v>
      </c>
      <c r="R829" s="198">
        <v>127</v>
      </c>
      <c r="S829" s="223">
        <f>Table4[[#This Row],[VALUE]]*Table4[[#This Row],[QTD]]</f>
        <v>127</v>
      </c>
    </row>
    <row r="830" spans="2:19" ht="15" customHeight="1" x14ac:dyDescent="0.2">
      <c r="B830" s="180"/>
      <c r="C830" s="196">
        <v>45726</v>
      </c>
      <c r="D830" s="107" t="s">
        <v>285</v>
      </c>
      <c r="E830" s="107" t="s">
        <v>74</v>
      </c>
      <c r="F830" s="112" t="s">
        <v>600</v>
      </c>
      <c r="G830" s="107" t="s">
        <v>287</v>
      </c>
      <c r="H830" s="96" t="s">
        <v>288</v>
      </c>
      <c r="I830" s="107" t="s">
        <v>289</v>
      </c>
      <c r="J830" s="1" t="s">
        <v>671</v>
      </c>
      <c r="K830" s="133"/>
      <c r="L830" s="107" t="s">
        <v>576</v>
      </c>
      <c r="M830" s="96">
        <v>7901</v>
      </c>
      <c r="N830" s="96">
        <v>371011</v>
      </c>
      <c r="O830" s="103"/>
      <c r="P830" s="96">
        <v>2</v>
      </c>
      <c r="Q830" s="197" t="s">
        <v>26</v>
      </c>
      <c r="R830" s="198">
        <v>227</v>
      </c>
      <c r="S830" s="223">
        <f>Table4[[#This Row],[VALUE]]*Table4[[#This Row],[QTD]]</f>
        <v>454</v>
      </c>
    </row>
    <row r="831" spans="2:19" ht="15" customHeight="1" x14ac:dyDescent="0.2">
      <c r="B831" s="180"/>
      <c r="C831" s="196">
        <v>45726</v>
      </c>
      <c r="D831" s="107" t="s">
        <v>285</v>
      </c>
      <c r="E831" s="107" t="s">
        <v>74</v>
      </c>
      <c r="F831" s="112" t="s">
        <v>600</v>
      </c>
      <c r="G831" s="107" t="s">
        <v>287</v>
      </c>
      <c r="H831" s="96" t="s">
        <v>288</v>
      </c>
      <c r="I831" s="107" t="s">
        <v>289</v>
      </c>
      <c r="J831" s="1" t="s">
        <v>672</v>
      </c>
      <c r="K831" s="133"/>
      <c r="L831" s="107" t="s">
        <v>576</v>
      </c>
      <c r="M831" s="96">
        <v>7901</v>
      </c>
      <c r="N831" s="96">
        <v>371011</v>
      </c>
      <c r="O831" s="103"/>
      <c r="P831" s="96">
        <v>12</v>
      </c>
      <c r="Q831" s="197" t="s">
        <v>26</v>
      </c>
      <c r="R831" s="198">
        <v>22.5</v>
      </c>
      <c r="S831" s="223">
        <f>Table4[[#This Row],[VALUE]]*Table4[[#This Row],[QTD]]</f>
        <v>270</v>
      </c>
    </row>
    <row r="832" spans="2:19" ht="15" customHeight="1" x14ac:dyDescent="0.2">
      <c r="B832" s="180"/>
      <c r="C832" s="196">
        <v>45726</v>
      </c>
      <c r="D832" s="107" t="s">
        <v>285</v>
      </c>
      <c r="E832" s="107" t="s">
        <v>74</v>
      </c>
      <c r="F832" s="112" t="s">
        <v>600</v>
      </c>
      <c r="G832" s="107" t="s">
        <v>287</v>
      </c>
      <c r="H832" s="96" t="s">
        <v>288</v>
      </c>
      <c r="I832" s="107" t="s">
        <v>289</v>
      </c>
      <c r="J832" s="1" t="s">
        <v>673</v>
      </c>
      <c r="K832" s="133"/>
      <c r="L832" s="107" t="s">
        <v>576</v>
      </c>
      <c r="M832" s="96">
        <v>7901</v>
      </c>
      <c r="N832" s="96">
        <v>371011</v>
      </c>
      <c r="O832" s="103"/>
      <c r="P832" s="96">
        <v>12</v>
      </c>
      <c r="Q832" s="197" t="s">
        <v>26</v>
      </c>
      <c r="R832" s="198">
        <v>8.5</v>
      </c>
      <c r="S832" s="223">
        <f>Table4[[#This Row],[VALUE]]*Table4[[#This Row],[QTD]]</f>
        <v>102</v>
      </c>
    </row>
    <row r="833" spans="2:19" ht="15" customHeight="1" x14ac:dyDescent="0.2">
      <c r="B833" s="180"/>
      <c r="C833" s="196">
        <v>45726</v>
      </c>
      <c r="D833" s="107" t="s">
        <v>285</v>
      </c>
      <c r="E833" s="107" t="s">
        <v>74</v>
      </c>
      <c r="F833" s="112" t="s">
        <v>600</v>
      </c>
      <c r="G833" s="107" t="s">
        <v>287</v>
      </c>
      <c r="H833" s="96" t="s">
        <v>288</v>
      </c>
      <c r="I833" s="107" t="s">
        <v>289</v>
      </c>
      <c r="J833" s="1" t="s">
        <v>640</v>
      </c>
      <c r="K833" s="133"/>
      <c r="L833" s="107" t="s">
        <v>576</v>
      </c>
      <c r="M833" s="96">
        <v>7901</v>
      </c>
      <c r="N833" s="96">
        <v>371011</v>
      </c>
      <c r="O833" s="103"/>
      <c r="P833" s="96">
        <v>12</v>
      </c>
      <c r="Q833" s="197" t="s">
        <v>26</v>
      </c>
      <c r="R833" s="198">
        <v>12</v>
      </c>
      <c r="S833" s="223">
        <f>Table4[[#This Row],[VALUE]]*Table4[[#This Row],[QTD]]</f>
        <v>144</v>
      </c>
    </row>
    <row r="834" spans="2:19" ht="15" customHeight="1" x14ac:dyDescent="0.2">
      <c r="B834" s="180"/>
      <c r="C834" s="196">
        <v>45726</v>
      </c>
      <c r="D834" s="107" t="s">
        <v>285</v>
      </c>
      <c r="E834" s="107" t="s">
        <v>74</v>
      </c>
      <c r="F834" s="112" t="s">
        <v>600</v>
      </c>
      <c r="G834" s="107" t="s">
        <v>287</v>
      </c>
      <c r="H834" s="96" t="s">
        <v>288</v>
      </c>
      <c r="I834" s="107" t="s">
        <v>289</v>
      </c>
      <c r="J834" s="1" t="s">
        <v>674</v>
      </c>
      <c r="K834" s="133"/>
      <c r="L834" s="107" t="s">
        <v>576</v>
      </c>
      <c r="M834" s="96">
        <v>7901</v>
      </c>
      <c r="N834" s="96">
        <v>371011</v>
      </c>
      <c r="O834" s="103"/>
      <c r="P834" s="96">
        <v>12</v>
      </c>
      <c r="Q834" s="197" t="s">
        <v>26</v>
      </c>
      <c r="R834" s="198">
        <v>1</v>
      </c>
      <c r="S834" s="223">
        <f>Table4[[#This Row],[VALUE]]*Table4[[#This Row],[QTD]]</f>
        <v>12</v>
      </c>
    </row>
    <row r="835" spans="2:19" ht="15" customHeight="1" x14ac:dyDescent="0.2">
      <c r="B835" s="180"/>
      <c r="C835" s="196">
        <v>45726</v>
      </c>
      <c r="D835" s="107" t="s">
        <v>285</v>
      </c>
      <c r="E835" s="107" t="s">
        <v>74</v>
      </c>
      <c r="F835" s="112" t="s">
        <v>600</v>
      </c>
      <c r="G835" s="107" t="s">
        <v>287</v>
      </c>
      <c r="H835" s="96" t="s">
        <v>288</v>
      </c>
      <c r="I835" s="107" t="s">
        <v>289</v>
      </c>
      <c r="J835" s="1" t="s">
        <v>675</v>
      </c>
      <c r="K835" s="133"/>
      <c r="L835" s="107" t="s">
        <v>576</v>
      </c>
      <c r="M835" s="96">
        <v>7901</v>
      </c>
      <c r="N835" s="96">
        <v>371011</v>
      </c>
      <c r="O835" s="103"/>
      <c r="P835" s="96">
        <v>12</v>
      </c>
      <c r="Q835" s="197" t="s">
        <v>26</v>
      </c>
      <c r="R835" s="198">
        <v>1.1000000000000001</v>
      </c>
      <c r="S835" s="223">
        <f>Table4[[#This Row],[VALUE]]*Table4[[#This Row],[QTD]]</f>
        <v>13.200000000000001</v>
      </c>
    </row>
    <row r="836" spans="2:19" ht="15" customHeight="1" x14ac:dyDescent="0.2">
      <c r="B836" s="180"/>
      <c r="C836" s="196">
        <v>45726</v>
      </c>
      <c r="D836" s="107" t="s">
        <v>285</v>
      </c>
      <c r="E836" s="107" t="s">
        <v>74</v>
      </c>
      <c r="F836" s="112" t="s">
        <v>600</v>
      </c>
      <c r="G836" s="107" t="s">
        <v>287</v>
      </c>
      <c r="H836" s="96" t="s">
        <v>288</v>
      </c>
      <c r="I836" s="107" t="s">
        <v>289</v>
      </c>
      <c r="J836" s="1" t="s">
        <v>676</v>
      </c>
      <c r="K836" s="133"/>
      <c r="L836" s="107" t="s">
        <v>576</v>
      </c>
      <c r="M836" s="96">
        <v>7901</v>
      </c>
      <c r="N836" s="96">
        <v>371011</v>
      </c>
      <c r="O836" s="103"/>
      <c r="P836" s="96">
        <v>12</v>
      </c>
      <c r="Q836" s="197" t="s">
        <v>26</v>
      </c>
      <c r="R836" s="198">
        <v>3.15</v>
      </c>
      <c r="S836" s="223">
        <f>Table4[[#This Row],[VALUE]]*Table4[[#This Row],[QTD]]</f>
        <v>37.799999999999997</v>
      </c>
    </row>
    <row r="837" spans="2:19" ht="15" customHeight="1" x14ac:dyDescent="0.2">
      <c r="B837" s="180"/>
      <c r="C837" s="196">
        <v>45726</v>
      </c>
      <c r="D837" s="107" t="s">
        <v>285</v>
      </c>
      <c r="E837" s="107" t="s">
        <v>74</v>
      </c>
      <c r="F837" s="112" t="s">
        <v>600</v>
      </c>
      <c r="G837" s="107" t="s">
        <v>287</v>
      </c>
      <c r="H837" s="96" t="s">
        <v>288</v>
      </c>
      <c r="I837" s="107" t="s">
        <v>289</v>
      </c>
      <c r="J837" s="1" t="s">
        <v>677</v>
      </c>
      <c r="K837" s="133"/>
      <c r="L837" s="107" t="s">
        <v>576</v>
      </c>
      <c r="M837" s="96">
        <v>7901</v>
      </c>
      <c r="N837" s="96">
        <v>371011</v>
      </c>
      <c r="O837" s="103"/>
      <c r="P837" s="96">
        <v>12</v>
      </c>
      <c r="Q837" s="197" t="s">
        <v>26</v>
      </c>
      <c r="R837" s="198">
        <v>4.5</v>
      </c>
      <c r="S837" s="223">
        <f>Table4[[#This Row],[VALUE]]*Table4[[#This Row],[QTD]]</f>
        <v>54</v>
      </c>
    </row>
    <row r="838" spans="2:19" ht="15" customHeight="1" x14ac:dyDescent="0.2">
      <c r="B838" s="180"/>
      <c r="C838" s="196">
        <v>45726</v>
      </c>
      <c r="D838" s="107" t="s">
        <v>285</v>
      </c>
      <c r="E838" s="107" t="s">
        <v>74</v>
      </c>
      <c r="F838" s="112" t="s">
        <v>600</v>
      </c>
      <c r="G838" s="107" t="s">
        <v>287</v>
      </c>
      <c r="H838" s="96" t="s">
        <v>288</v>
      </c>
      <c r="I838" s="107" t="s">
        <v>289</v>
      </c>
      <c r="J838" s="1" t="s">
        <v>675</v>
      </c>
      <c r="K838" s="133"/>
      <c r="L838" s="107" t="s">
        <v>576</v>
      </c>
      <c r="M838" s="96">
        <v>7901</v>
      </c>
      <c r="N838" s="96">
        <v>371011</v>
      </c>
      <c r="O838" s="103"/>
      <c r="P838" s="96">
        <v>40</v>
      </c>
      <c r="Q838" s="197" t="s">
        <v>26</v>
      </c>
      <c r="R838" s="198">
        <v>1.1000000000000001</v>
      </c>
      <c r="S838" s="223">
        <f>Table4[[#This Row],[VALUE]]*Table4[[#This Row],[QTD]]</f>
        <v>44</v>
      </c>
    </row>
    <row r="839" spans="2:19" ht="15" customHeight="1" x14ac:dyDescent="0.2">
      <c r="B839" s="180"/>
      <c r="C839" s="196">
        <v>45726</v>
      </c>
      <c r="D839" s="107" t="s">
        <v>285</v>
      </c>
      <c r="E839" s="107" t="s">
        <v>74</v>
      </c>
      <c r="F839" s="112" t="s">
        <v>600</v>
      </c>
      <c r="G839" s="107" t="s">
        <v>287</v>
      </c>
      <c r="H839" s="96" t="s">
        <v>288</v>
      </c>
      <c r="I839" s="107" t="s">
        <v>289</v>
      </c>
      <c r="J839" s="1" t="s">
        <v>678</v>
      </c>
      <c r="K839" s="133"/>
      <c r="L839" s="107" t="s">
        <v>576</v>
      </c>
      <c r="M839" s="96">
        <v>7901</v>
      </c>
      <c r="N839" s="96">
        <v>371011</v>
      </c>
      <c r="O839" s="103"/>
      <c r="P839" s="96">
        <v>20</v>
      </c>
      <c r="Q839" s="197" t="s">
        <v>26</v>
      </c>
      <c r="R839" s="198">
        <v>5.5</v>
      </c>
      <c r="S839" s="223">
        <f>Table4[[#This Row],[VALUE]]*Table4[[#This Row],[QTD]]</f>
        <v>110</v>
      </c>
    </row>
    <row r="840" spans="2:19" ht="15" customHeight="1" x14ac:dyDescent="0.2">
      <c r="B840" s="180"/>
      <c r="C840" s="196">
        <v>45726</v>
      </c>
      <c r="D840" s="107" t="s">
        <v>285</v>
      </c>
      <c r="E840" s="107" t="s">
        <v>74</v>
      </c>
      <c r="F840" s="112" t="s">
        <v>600</v>
      </c>
      <c r="G840" s="107" t="s">
        <v>287</v>
      </c>
      <c r="H840" s="96" t="s">
        <v>288</v>
      </c>
      <c r="I840" s="107" t="s">
        <v>289</v>
      </c>
      <c r="J840" s="1" t="s">
        <v>679</v>
      </c>
      <c r="K840" s="133"/>
      <c r="L840" s="107" t="s">
        <v>576</v>
      </c>
      <c r="M840" s="96">
        <v>7901</v>
      </c>
      <c r="N840" s="96">
        <v>371011</v>
      </c>
      <c r="O840" s="103"/>
      <c r="P840" s="96">
        <v>4</v>
      </c>
      <c r="Q840" s="197" t="s">
        <v>26</v>
      </c>
      <c r="R840" s="198">
        <v>127</v>
      </c>
      <c r="S840" s="223">
        <f>Table4[[#This Row],[VALUE]]*Table4[[#This Row],[QTD]]</f>
        <v>508</v>
      </c>
    </row>
    <row r="841" spans="2:19" ht="15" customHeight="1" x14ac:dyDescent="0.2">
      <c r="B841" s="180"/>
      <c r="C841" s="196">
        <v>45723</v>
      </c>
      <c r="D841" s="107" t="s">
        <v>285</v>
      </c>
      <c r="E841" s="107" t="s">
        <v>74</v>
      </c>
      <c r="F841" s="112" t="s">
        <v>600</v>
      </c>
      <c r="G841" s="107" t="s">
        <v>287</v>
      </c>
      <c r="H841" s="96" t="s">
        <v>288</v>
      </c>
      <c r="I841" s="107" t="s">
        <v>289</v>
      </c>
      <c r="J841" s="1" t="s">
        <v>677</v>
      </c>
      <c r="K841" s="133"/>
      <c r="L841" s="107" t="s">
        <v>576</v>
      </c>
      <c r="M841" s="96">
        <v>7901</v>
      </c>
      <c r="N841" s="96">
        <v>371011</v>
      </c>
      <c r="O841" s="103"/>
      <c r="P841" s="96">
        <v>1</v>
      </c>
      <c r="Q841" s="197" t="s">
        <v>26</v>
      </c>
      <c r="R841" s="198">
        <v>4.5</v>
      </c>
      <c r="S841" s="223">
        <f>Table4[[#This Row],[VALUE]]*Table4[[#This Row],[QTD]]</f>
        <v>4.5</v>
      </c>
    </row>
    <row r="842" spans="2:19" ht="15" customHeight="1" x14ac:dyDescent="0.2">
      <c r="B842" s="180"/>
      <c r="C842" s="196">
        <v>45723</v>
      </c>
      <c r="D842" s="107" t="s">
        <v>285</v>
      </c>
      <c r="E842" s="107" t="s">
        <v>74</v>
      </c>
      <c r="F842" s="112" t="s">
        <v>600</v>
      </c>
      <c r="G842" s="107" t="s">
        <v>287</v>
      </c>
      <c r="H842" s="96" t="s">
        <v>288</v>
      </c>
      <c r="I842" s="107" t="s">
        <v>289</v>
      </c>
      <c r="J842" s="1" t="s">
        <v>681</v>
      </c>
      <c r="K842" s="133"/>
      <c r="L842" s="107" t="s">
        <v>576</v>
      </c>
      <c r="M842" s="96">
        <v>7901</v>
      </c>
      <c r="N842" s="96">
        <v>371011</v>
      </c>
      <c r="O842" s="103"/>
      <c r="P842" s="96">
        <v>1</v>
      </c>
      <c r="Q842" s="197" t="s">
        <v>26</v>
      </c>
      <c r="R842" s="198">
        <v>115.04</v>
      </c>
      <c r="S842" s="223">
        <f>Table4[[#This Row],[VALUE]]*Table4[[#This Row],[QTD]]</f>
        <v>115.04</v>
      </c>
    </row>
    <row r="843" spans="2:19" ht="15" customHeight="1" x14ac:dyDescent="0.2">
      <c r="B843" s="180"/>
      <c r="C843" s="196">
        <v>45723</v>
      </c>
      <c r="D843" s="107" t="s">
        <v>285</v>
      </c>
      <c r="E843" s="107" t="s">
        <v>74</v>
      </c>
      <c r="F843" s="112" t="s">
        <v>600</v>
      </c>
      <c r="G843" s="107" t="s">
        <v>287</v>
      </c>
      <c r="H843" s="96" t="s">
        <v>288</v>
      </c>
      <c r="I843" s="107" t="s">
        <v>289</v>
      </c>
      <c r="J843" s="1" t="s">
        <v>680</v>
      </c>
      <c r="K843" s="133"/>
      <c r="L843" s="107" t="s">
        <v>576</v>
      </c>
      <c r="M843" s="96">
        <v>7901</v>
      </c>
      <c r="N843" s="96">
        <v>371011</v>
      </c>
      <c r="O843" s="103"/>
      <c r="P843" s="96">
        <v>1</v>
      </c>
      <c r="Q843" s="197" t="s">
        <v>26</v>
      </c>
      <c r="R843" s="198">
        <v>142</v>
      </c>
      <c r="S843" s="223">
        <f>Table4[[#This Row],[VALUE]]*Table4[[#This Row],[QTD]]</f>
        <v>142</v>
      </c>
    </row>
    <row r="844" spans="2:19" ht="15" customHeight="1" x14ac:dyDescent="0.2">
      <c r="B844" s="180"/>
      <c r="C844" s="196">
        <v>45723</v>
      </c>
      <c r="D844" s="107" t="s">
        <v>285</v>
      </c>
      <c r="E844" s="107" t="s">
        <v>74</v>
      </c>
      <c r="F844" s="112" t="s">
        <v>600</v>
      </c>
      <c r="G844" s="107" t="s">
        <v>287</v>
      </c>
      <c r="H844" s="96" t="s">
        <v>288</v>
      </c>
      <c r="I844" s="107" t="s">
        <v>289</v>
      </c>
      <c r="J844" s="1" t="s">
        <v>682</v>
      </c>
      <c r="K844" s="133"/>
      <c r="L844" s="107" t="s">
        <v>576</v>
      </c>
      <c r="M844" s="96">
        <v>7901</v>
      </c>
      <c r="N844" s="96">
        <v>371011</v>
      </c>
      <c r="O844" s="103"/>
      <c r="P844" s="96">
        <v>1</v>
      </c>
      <c r="Q844" s="197" t="s">
        <v>26</v>
      </c>
      <c r="R844" s="198">
        <v>89.44</v>
      </c>
      <c r="S844" s="223">
        <f>Table4[[#This Row],[VALUE]]*Table4[[#This Row],[QTD]]</f>
        <v>89.44</v>
      </c>
    </row>
    <row r="845" spans="2:19" ht="15" customHeight="1" x14ac:dyDescent="0.2">
      <c r="B845" s="180"/>
      <c r="C845" s="196">
        <v>45723</v>
      </c>
      <c r="D845" s="107" t="s">
        <v>285</v>
      </c>
      <c r="E845" s="107" t="s">
        <v>74</v>
      </c>
      <c r="F845" s="112" t="s">
        <v>600</v>
      </c>
      <c r="G845" s="107" t="s">
        <v>287</v>
      </c>
      <c r="H845" s="96" t="s">
        <v>288</v>
      </c>
      <c r="I845" s="107" t="s">
        <v>289</v>
      </c>
      <c r="J845" s="1" t="s">
        <v>683</v>
      </c>
      <c r="K845" s="133"/>
      <c r="L845" s="107" t="s">
        <v>576</v>
      </c>
      <c r="M845" s="96">
        <v>7901</v>
      </c>
      <c r="N845" s="96">
        <v>371011</v>
      </c>
      <c r="O845" s="103"/>
      <c r="P845" s="96">
        <v>1</v>
      </c>
      <c r="Q845" s="197" t="s">
        <v>26</v>
      </c>
      <c r="R845" s="198">
        <v>45</v>
      </c>
      <c r="S845" s="223">
        <f>Table4[[#This Row],[VALUE]]*Table4[[#This Row],[QTD]]</f>
        <v>45</v>
      </c>
    </row>
    <row r="846" spans="2:19" ht="15" customHeight="1" x14ac:dyDescent="0.2">
      <c r="B846" s="180"/>
      <c r="C846" s="196">
        <v>45723</v>
      </c>
      <c r="D846" s="107" t="s">
        <v>285</v>
      </c>
      <c r="E846" s="107" t="s">
        <v>634</v>
      </c>
      <c r="F846" s="112" t="s">
        <v>633</v>
      </c>
      <c r="G846" s="107" t="s">
        <v>287</v>
      </c>
      <c r="H846" s="96" t="s">
        <v>288</v>
      </c>
      <c r="I846" s="107" t="s">
        <v>289</v>
      </c>
      <c r="J846" s="1" t="s">
        <v>662</v>
      </c>
      <c r="K846" s="133"/>
      <c r="L846" s="107" t="s">
        <v>576</v>
      </c>
      <c r="M846" s="96">
        <v>7901</v>
      </c>
      <c r="N846" s="96">
        <v>371011</v>
      </c>
      <c r="O846" s="103"/>
      <c r="P846" s="96">
        <v>15</v>
      </c>
      <c r="Q846" s="197" t="s">
        <v>26</v>
      </c>
      <c r="R846" s="198">
        <v>2.5</v>
      </c>
      <c r="S846" s="223">
        <f>Table4[[#This Row],[VALUE]]*Table4[[#This Row],[QTD]]</f>
        <v>37.5</v>
      </c>
    </row>
    <row r="847" spans="2:19" ht="15" customHeight="1" x14ac:dyDescent="0.2">
      <c r="B847" s="180"/>
      <c r="C847" s="196">
        <v>45723</v>
      </c>
      <c r="D847" s="107" t="s">
        <v>285</v>
      </c>
      <c r="E847" s="107" t="s">
        <v>634</v>
      </c>
      <c r="F847" s="112" t="s">
        <v>633</v>
      </c>
      <c r="G847" s="107" t="s">
        <v>287</v>
      </c>
      <c r="H847" s="96" t="s">
        <v>288</v>
      </c>
      <c r="I847" s="107" t="s">
        <v>289</v>
      </c>
      <c r="J847" s="1" t="s">
        <v>662</v>
      </c>
      <c r="K847" s="133"/>
      <c r="L847" s="107" t="s">
        <v>576</v>
      </c>
      <c r="M847" s="96">
        <v>7901</v>
      </c>
      <c r="N847" s="96">
        <v>371011</v>
      </c>
      <c r="O847" s="103"/>
      <c r="P847" s="96">
        <v>15</v>
      </c>
      <c r="Q847" s="197" t="s">
        <v>26</v>
      </c>
      <c r="R847" s="198">
        <v>2.5</v>
      </c>
      <c r="S847" s="223">
        <f>Table4[[#This Row],[VALUE]]*Table4[[#This Row],[QTD]]</f>
        <v>37.5</v>
      </c>
    </row>
    <row r="848" spans="2:19" ht="15" customHeight="1" x14ac:dyDescent="0.2">
      <c r="B848" s="180"/>
      <c r="C848" s="196">
        <v>45723</v>
      </c>
      <c r="D848" s="107" t="s">
        <v>285</v>
      </c>
      <c r="E848" s="107" t="s">
        <v>634</v>
      </c>
      <c r="F848" s="112" t="s">
        <v>633</v>
      </c>
      <c r="G848" s="107" t="s">
        <v>287</v>
      </c>
      <c r="H848" s="96" t="s">
        <v>288</v>
      </c>
      <c r="I848" s="107" t="s">
        <v>289</v>
      </c>
      <c r="J848" s="1" t="s">
        <v>684</v>
      </c>
      <c r="K848" s="133"/>
      <c r="L848" s="107" t="s">
        <v>576</v>
      </c>
      <c r="M848" s="96">
        <v>7901</v>
      </c>
      <c r="N848" s="96">
        <v>371011</v>
      </c>
      <c r="O848" s="103"/>
      <c r="P848" s="96">
        <v>16</v>
      </c>
      <c r="Q848" s="197" t="s">
        <v>26</v>
      </c>
      <c r="R848" s="198">
        <v>11.5</v>
      </c>
      <c r="S848" s="223">
        <f>Table4[[#This Row],[VALUE]]*Table4[[#This Row],[QTD]]</f>
        <v>184</v>
      </c>
    </row>
    <row r="849" spans="2:19" ht="15" customHeight="1" x14ac:dyDescent="0.2">
      <c r="B849" s="180"/>
      <c r="C849" s="196">
        <v>45723</v>
      </c>
      <c r="D849" s="107" t="s">
        <v>285</v>
      </c>
      <c r="E849" s="107" t="s">
        <v>634</v>
      </c>
      <c r="F849" s="112" t="s">
        <v>633</v>
      </c>
      <c r="G849" s="107" t="s">
        <v>287</v>
      </c>
      <c r="H849" s="96" t="s">
        <v>288</v>
      </c>
      <c r="I849" s="107" t="s">
        <v>289</v>
      </c>
      <c r="J849" s="1" t="s">
        <v>684</v>
      </c>
      <c r="K849" s="133"/>
      <c r="L849" s="107" t="s">
        <v>576</v>
      </c>
      <c r="M849" s="96">
        <v>7901</v>
      </c>
      <c r="N849" s="96">
        <v>371011</v>
      </c>
      <c r="O849" s="103"/>
      <c r="P849" s="96">
        <v>16</v>
      </c>
      <c r="Q849" s="197" t="s">
        <v>26</v>
      </c>
      <c r="R849" s="198">
        <v>11.5</v>
      </c>
      <c r="S849" s="223">
        <f>Table4[[#This Row],[VALUE]]*Table4[[#This Row],[QTD]]</f>
        <v>184</v>
      </c>
    </row>
    <row r="850" spans="2:19" ht="15" customHeight="1" x14ac:dyDescent="0.2">
      <c r="B850" s="180"/>
      <c r="C850" s="196">
        <v>45723</v>
      </c>
      <c r="D850" s="107" t="s">
        <v>285</v>
      </c>
      <c r="E850" s="107" t="s">
        <v>634</v>
      </c>
      <c r="F850" s="112" t="s">
        <v>633</v>
      </c>
      <c r="G850" s="107" t="s">
        <v>287</v>
      </c>
      <c r="H850" s="96" t="s">
        <v>288</v>
      </c>
      <c r="I850" s="107" t="s">
        <v>289</v>
      </c>
      <c r="J850" s="1" t="s">
        <v>685</v>
      </c>
      <c r="K850" s="133"/>
      <c r="L850" s="107" t="s">
        <v>576</v>
      </c>
      <c r="M850" s="96">
        <v>7901</v>
      </c>
      <c r="N850" s="96">
        <v>371011</v>
      </c>
      <c r="O850" s="103"/>
      <c r="P850" s="96">
        <v>1</v>
      </c>
      <c r="Q850" s="197" t="s">
        <v>26</v>
      </c>
      <c r="R850" s="198">
        <v>377</v>
      </c>
      <c r="S850" s="223">
        <f>Table4[[#This Row],[VALUE]]*Table4[[#This Row],[QTD]]</f>
        <v>377</v>
      </c>
    </row>
    <row r="851" spans="2:19" ht="15" customHeight="1" x14ac:dyDescent="0.2">
      <c r="B851" s="180"/>
      <c r="C851" s="196">
        <v>45713</v>
      </c>
      <c r="D851" s="107" t="s">
        <v>285</v>
      </c>
      <c r="E851" s="107" t="s">
        <v>383</v>
      </c>
      <c r="F851" s="112" t="s">
        <v>600</v>
      </c>
      <c r="G851" s="107" t="s">
        <v>287</v>
      </c>
      <c r="H851" s="96" t="s">
        <v>288</v>
      </c>
      <c r="I851" s="107" t="s">
        <v>289</v>
      </c>
      <c r="J851" s="1" t="s">
        <v>686</v>
      </c>
      <c r="K851" s="133"/>
      <c r="L851" s="107" t="s">
        <v>576</v>
      </c>
      <c r="M851" s="96">
        <v>7901</v>
      </c>
      <c r="N851" s="96">
        <v>371011</v>
      </c>
      <c r="O851" s="103"/>
      <c r="P851" s="96">
        <v>10</v>
      </c>
      <c r="Q851" s="197" t="s">
        <v>26</v>
      </c>
      <c r="R851" s="198">
        <v>79</v>
      </c>
      <c r="S851" s="223">
        <f>Table4[[#This Row],[VALUE]]*Table4[[#This Row],[QTD]]</f>
        <v>790</v>
      </c>
    </row>
    <row r="852" spans="2:19" ht="15" customHeight="1" x14ac:dyDescent="0.2">
      <c r="B852" s="180"/>
      <c r="C852" s="196">
        <v>45713</v>
      </c>
      <c r="D852" s="107" t="s">
        <v>285</v>
      </c>
      <c r="E852" s="107" t="s">
        <v>383</v>
      </c>
      <c r="F852" s="112" t="s">
        <v>600</v>
      </c>
      <c r="G852" s="107" t="s">
        <v>287</v>
      </c>
      <c r="H852" s="96" t="s">
        <v>288</v>
      </c>
      <c r="I852" s="107" t="s">
        <v>289</v>
      </c>
      <c r="J852" s="1" t="s">
        <v>687</v>
      </c>
      <c r="K852" s="133"/>
      <c r="L852" s="107" t="s">
        <v>576</v>
      </c>
      <c r="M852" s="96">
        <v>7901</v>
      </c>
      <c r="N852" s="96">
        <v>371011</v>
      </c>
      <c r="O852" s="103"/>
      <c r="P852" s="96">
        <v>4</v>
      </c>
      <c r="Q852" s="197" t="s">
        <v>26</v>
      </c>
      <c r="R852" s="198">
        <v>88.48</v>
      </c>
      <c r="S852" s="223">
        <f>Table4[[#This Row],[VALUE]]*Table4[[#This Row],[QTD]]</f>
        <v>353.92</v>
      </c>
    </row>
    <row r="853" spans="2:19" ht="15" customHeight="1" x14ac:dyDescent="0.2">
      <c r="B853" s="180"/>
      <c r="C853" s="196">
        <v>45713</v>
      </c>
      <c r="D853" s="107" t="s">
        <v>285</v>
      </c>
      <c r="E853" s="107" t="s">
        <v>383</v>
      </c>
      <c r="F853" s="112" t="s">
        <v>600</v>
      </c>
      <c r="G853" s="107" t="s">
        <v>287</v>
      </c>
      <c r="H853" s="96" t="s">
        <v>288</v>
      </c>
      <c r="I853" s="107" t="s">
        <v>289</v>
      </c>
      <c r="J853" s="1" t="s">
        <v>681</v>
      </c>
      <c r="K853" s="133"/>
      <c r="L853" s="107" t="s">
        <v>576</v>
      </c>
      <c r="M853" s="96">
        <v>7901</v>
      </c>
      <c r="N853" s="96">
        <v>371011</v>
      </c>
      <c r="O853" s="103"/>
      <c r="P853" s="96">
        <v>2</v>
      </c>
      <c r="Q853" s="197" t="s">
        <v>26</v>
      </c>
      <c r="R853" s="198">
        <v>115.04</v>
      </c>
      <c r="S853" s="223">
        <f>Table4[[#This Row],[VALUE]]*Table4[[#This Row],[QTD]]</f>
        <v>230.08</v>
      </c>
    </row>
    <row r="854" spans="2:19" ht="15" customHeight="1" x14ac:dyDescent="0.2">
      <c r="B854" s="180"/>
      <c r="C854" s="196">
        <v>45713</v>
      </c>
      <c r="D854" s="107" t="s">
        <v>285</v>
      </c>
      <c r="E854" s="107" t="s">
        <v>383</v>
      </c>
      <c r="F854" s="112" t="s">
        <v>600</v>
      </c>
      <c r="G854" s="107" t="s">
        <v>287</v>
      </c>
      <c r="H854" s="96" t="s">
        <v>288</v>
      </c>
      <c r="I854" s="107" t="s">
        <v>289</v>
      </c>
      <c r="J854" s="1" t="s">
        <v>682</v>
      </c>
      <c r="K854" s="133"/>
      <c r="L854" s="107" t="s">
        <v>576</v>
      </c>
      <c r="M854" s="96">
        <v>7901</v>
      </c>
      <c r="N854" s="96">
        <v>371011</v>
      </c>
      <c r="O854" s="103"/>
      <c r="P854" s="96">
        <v>2</v>
      </c>
      <c r="Q854" s="197" t="s">
        <v>26</v>
      </c>
      <c r="R854" s="198">
        <v>89.44</v>
      </c>
      <c r="S854" s="223">
        <f>Table4[[#This Row],[VALUE]]*Table4[[#This Row],[QTD]]</f>
        <v>178.88</v>
      </c>
    </row>
    <row r="855" spans="2:19" ht="15" customHeight="1" x14ac:dyDescent="0.2">
      <c r="B855" s="180"/>
      <c r="C855" s="196">
        <v>45713</v>
      </c>
      <c r="D855" s="107" t="s">
        <v>285</v>
      </c>
      <c r="E855" s="107" t="s">
        <v>383</v>
      </c>
      <c r="F855" s="112" t="s">
        <v>600</v>
      </c>
      <c r="G855" s="107" t="s">
        <v>287</v>
      </c>
      <c r="H855" s="96" t="s">
        <v>288</v>
      </c>
      <c r="I855" s="107" t="s">
        <v>289</v>
      </c>
      <c r="J855" s="1" t="s">
        <v>688</v>
      </c>
      <c r="K855" s="133"/>
      <c r="L855" s="107" t="s">
        <v>576</v>
      </c>
      <c r="M855" s="96">
        <v>7901</v>
      </c>
      <c r="N855" s="96">
        <v>371011</v>
      </c>
      <c r="O855" s="103"/>
      <c r="P855" s="96">
        <v>1</v>
      </c>
      <c r="Q855" s="197" t="s">
        <v>26</v>
      </c>
      <c r="R855" s="198">
        <v>14</v>
      </c>
      <c r="S855" s="223">
        <f>Table4[[#This Row],[VALUE]]*Table4[[#This Row],[QTD]]</f>
        <v>14</v>
      </c>
    </row>
    <row r="856" spans="2:19" ht="15" customHeight="1" x14ac:dyDescent="0.2">
      <c r="B856" s="180"/>
      <c r="C856" s="196">
        <v>45713</v>
      </c>
      <c r="D856" s="107" t="s">
        <v>285</v>
      </c>
      <c r="E856" s="107" t="s">
        <v>383</v>
      </c>
      <c r="F856" s="112" t="s">
        <v>600</v>
      </c>
      <c r="G856" s="107" t="s">
        <v>287</v>
      </c>
      <c r="H856" s="96" t="s">
        <v>288</v>
      </c>
      <c r="I856" s="107" t="s">
        <v>289</v>
      </c>
      <c r="J856" s="1" t="s">
        <v>689</v>
      </c>
      <c r="K856" s="133"/>
      <c r="L856" s="107" t="s">
        <v>576</v>
      </c>
      <c r="M856" s="96">
        <v>7901</v>
      </c>
      <c r="N856" s="96">
        <v>371011</v>
      </c>
      <c r="O856" s="103"/>
      <c r="P856" s="96">
        <v>1</v>
      </c>
      <c r="Q856" s="197" t="s">
        <v>26</v>
      </c>
      <c r="R856" s="198">
        <v>4.5</v>
      </c>
      <c r="S856" s="223">
        <f>Table4[[#This Row],[VALUE]]*Table4[[#This Row],[QTD]]</f>
        <v>4.5</v>
      </c>
    </row>
    <row r="857" spans="2:19" ht="15" customHeight="1" x14ac:dyDescent="0.2">
      <c r="B857" s="180"/>
      <c r="C857" s="196">
        <v>45713</v>
      </c>
      <c r="D857" s="107" t="s">
        <v>285</v>
      </c>
      <c r="E857" s="107" t="s">
        <v>383</v>
      </c>
      <c r="F857" s="112" t="s">
        <v>600</v>
      </c>
      <c r="G857" s="107" t="s">
        <v>287</v>
      </c>
      <c r="H857" s="96" t="s">
        <v>288</v>
      </c>
      <c r="I857" s="107" t="s">
        <v>289</v>
      </c>
      <c r="J857" s="1" t="s">
        <v>690</v>
      </c>
      <c r="K857" s="133"/>
      <c r="L857" s="107" t="s">
        <v>576</v>
      </c>
      <c r="M857" s="96">
        <v>7901</v>
      </c>
      <c r="N857" s="96">
        <v>371011</v>
      </c>
      <c r="O857" s="103"/>
      <c r="P857" s="96">
        <v>1</v>
      </c>
      <c r="Q857" s="197" t="s">
        <v>26</v>
      </c>
      <c r="R857" s="198">
        <v>13.42</v>
      </c>
      <c r="S857" s="223">
        <f>Table4[[#This Row],[VALUE]]*Table4[[#This Row],[QTD]]</f>
        <v>13.42</v>
      </c>
    </row>
    <row r="858" spans="2:19" ht="15" customHeight="1" x14ac:dyDescent="0.2">
      <c r="B858" s="180"/>
      <c r="C858" s="196">
        <v>45713</v>
      </c>
      <c r="D858" s="107" t="s">
        <v>285</v>
      </c>
      <c r="E858" s="107" t="s">
        <v>383</v>
      </c>
      <c r="F858" s="112" t="s">
        <v>600</v>
      </c>
      <c r="G858" s="107" t="s">
        <v>287</v>
      </c>
      <c r="H858" s="96" t="s">
        <v>288</v>
      </c>
      <c r="I858" s="107" t="s">
        <v>289</v>
      </c>
      <c r="J858" s="1" t="s">
        <v>691</v>
      </c>
      <c r="K858" s="133"/>
      <c r="L858" s="107" t="s">
        <v>576</v>
      </c>
      <c r="M858" s="96">
        <v>7901</v>
      </c>
      <c r="N858" s="96">
        <v>371011</v>
      </c>
      <c r="O858" s="103"/>
      <c r="P858" s="96">
        <v>1</v>
      </c>
      <c r="Q858" s="197" t="s">
        <v>26</v>
      </c>
      <c r="R858" s="198">
        <v>30.24</v>
      </c>
      <c r="S858" s="223">
        <f>Table4[[#This Row],[VALUE]]*Table4[[#This Row],[QTD]]</f>
        <v>30.24</v>
      </c>
    </row>
    <row r="859" spans="2:19" ht="15" customHeight="1" x14ac:dyDescent="0.2">
      <c r="B859" s="180"/>
      <c r="C859" s="196">
        <v>45713</v>
      </c>
      <c r="D859" s="107" t="s">
        <v>285</v>
      </c>
      <c r="E859" s="107" t="s">
        <v>383</v>
      </c>
      <c r="F859" s="112" t="s">
        <v>600</v>
      </c>
      <c r="G859" s="107" t="s">
        <v>287</v>
      </c>
      <c r="H859" s="96" t="s">
        <v>288</v>
      </c>
      <c r="I859" s="107" t="s">
        <v>289</v>
      </c>
      <c r="J859" s="1" t="s">
        <v>692</v>
      </c>
      <c r="K859" s="133"/>
      <c r="L859" s="107" t="s">
        <v>576</v>
      </c>
      <c r="M859" s="96">
        <v>7901</v>
      </c>
      <c r="N859" s="96">
        <v>371011</v>
      </c>
      <c r="O859" s="103"/>
      <c r="P859" s="96">
        <v>1</v>
      </c>
      <c r="Q859" s="197" t="s">
        <v>26</v>
      </c>
      <c r="R859" s="198">
        <v>15.96</v>
      </c>
      <c r="S859" s="223">
        <f>Table4[[#This Row],[VALUE]]*Table4[[#This Row],[QTD]]</f>
        <v>15.96</v>
      </c>
    </row>
    <row r="860" spans="2:19" ht="15" customHeight="1" x14ac:dyDescent="0.2">
      <c r="B860" s="180"/>
      <c r="C860" s="196">
        <v>45713</v>
      </c>
      <c r="D860" s="107" t="s">
        <v>285</v>
      </c>
      <c r="E860" s="107" t="s">
        <v>383</v>
      </c>
      <c r="F860" s="112" t="s">
        <v>600</v>
      </c>
      <c r="G860" s="107" t="s">
        <v>287</v>
      </c>
      <c r="H860" s="96" t="s">
        <v>288</v>
      </c>
      <c r="I860" s="107" t="s">
        <v>289</v>
      </c>
      <c r="J860" s="1" t="s">
        <v>693</v>
      </c>
      <c r="K860" s="133"/>
      <c r="L860" s="107" t="s">
        <v>576</v>
      </c>
      <c r="M860" s="96">
        <v>7901</v>
      </c>
      <c r="N860" s="96">
        <v>371011</v>
      </c>
      <c r="O860" s="103"/>
      <c r="P860" s="96">
        <v>1</v>
      </c>
      <c r="Q860" s="197" t="s">
        <v>26</v>
      </c>
      <c r="R860" s="198">
        <v>37.770000000000003</v>
      </c>
      <c r="S860" s="223">
        <f>Table4[[#This Row],[VALUE]]*Table4[[#This Row],[QTD]]</f>
        <v>37.770000000000003</v>
      </c>
    </row>
    <row r="861" spans="2:19" ht="15" customHeight="1" x14ac:dyDescent="0.2">
      <c r="B861" s="180"/>
      <c r="C861" s="196">
        <v>45713</v>
      </c>
      <c r="D861" s="107" t="s">
        <v>285</v>
      </c>
      <c r="E861" s="107" t="s">
        <v>647</v>
      </c>
      <c r="F861" s="112" t="s">
        <v>696</v>
      </c>
      <c r="G861" s="107" t="s">
        <v>287</v>
      </c>
      <c r="H861" s="96" t="s">
        <v>288</v>
      </c>
      <c r="I861" s="107" t="s">
        <v>289</v>
      </c>
      <c r="J861" s="1" t="s">
        <v>694</v>
      </c>
      <c r="K861" s="133"/>
      <c r="L861" s="107" t="s">
        <v>576</v>
      </c>
      <c r="M861" s="96">
        <v>7901</v>
      </c>
      <c r="N861" s="96">
        <v>371011</v>
      </c>
      <c r="O861" s="103"/>
      <c r="P861" s="96">
        <v>33</v>
      </c>
      <c r="Q861" s="197" t="s">
        <v>26</v>
      </c>
      <c r="R861" s="198">
        <v>172.8</v>
      </c>
      <c r="S861" s="223">
        <f>Table4[[#This Row],[VALUE]]*Table4[[#This Row],[QTD]]</f>
        <v>5702.4000000000005</v>
      </c>
    </row>
    <row r="862" spans="2:19" ht="15" customHeight="1" x14ac:dyDescent="0.2">
      <c r="B862" s="180"/>
      <c r="C862" s="196">
        <v>45713</v>
      </c>
      <c r="D862" s="107" t="s">
        <v>285</v>
      </c>
      <c r="E862" s="107" t="s">
        <v>647</v>
      </c>
      <c r="F862" s="112" t="s">
        <v>696</v>
      </c>
      <c r="G862" s="107" t="s">
        <v>287</v>
      </c>
      <c r="H862" s="96" t="s">
        <v>288</v>
      </c>
      <c r="I862" s="107" t="s">
        <v>289</v>
      </c>
      <c r="J862" s="1" t="s">
        <v>695</v>
      </c>
      <c r="K862" s="133"/>
      <c r="L862" s="107" t="s">
        <v>576</v>
      </c>
      <c r="M862" s="96">
        <v>7901</v>
      </c>
      <c r="N862" s="96">
        <v>371011</v>
      </c>
      <c r="O862" s="103"/>
      <c r="P862" s="96">
        <v>28</v>
      </c>
      <c r="Q862" s="197" t="s">
        <v>26</v>
      </c>
      <c r="R862" s="198">
        <v>228</v>
      </c>
      <c r="S862" s="223">
        <f>Table4[[#This Row],[VALUE]]*Table4[[#This Row],[QTD]]</f>
        <v>6384</v>
      </c>
    </row>
    <row r="863" spans="2:19" ht="15" customHeight="1" x14ac:dyDescent="0.2">
      <c r="B863" s="180"/>
      <c r="C863" s="196">
        <v>45713</v>
      </c>
      <c r="D863" s="107" t="s">
        <v>285</v>
      </c>
      <c r="E863" s="96" t="s">
        <v>263</v>
      </c>
      <c r="F863" s="108" t="s">
        <v>263</v>
      </c>
      <c r="G863" s="107" t="s">
        <v>287</v>
      </c>
      <c r="H863" s="96" t="s">
        <v>288</v>
      </c>
      <c r="I863" s="107" t="s">
        <v>289</v>
      </c>
      <c r="J863" s="1" t="s">
        <v>697</v>
      </c>
      <c r="K863" s="133"/>
      <c r="L863" s="107" t="s">
        <v>576</v>
      </c>
      <c r="M863" s="96">
        <v>7901</v>
      </c>
      <c r="N863" s="96">
        <v>371011</v>
      </c>
      <c r="O863" s="103"/>
      <c r="P863" s="96">
        <v>1</v>
      </c>
      <c r="Q863" s="197" t="s">
        <v>26</v>
      </c>
      <c r="R863" s="224">
        <v>4197.8999999999996</v>
      </c>
      <c r="S863" s="223">
        <f>Table4[[#This Row],[VALUE]]*Table4[[#This Row],[QTD]]</f>
        <v>4197.8999999999996</v>
      </c>
    </row>
    <row r="864" spans="2:19" ht="15" customHeight="1" x14ac:dyDescent="0.2">
      <c r="B864" s="54"/>
      <c r="D864" s="31"/>
      <c r="E864" s="31"/>
      <c r="F864" s="31"/>
      <c r="G864" s="31"/>
      <c r="I864" s="31"/>
      <c r="J864" s="31"/>
      <c r="L864" s="31"/>
      <c r="O864" s="34"/>
      <c r="R864" s="31"/>
      <c r="S864" s="182">
        <f>SUBTOTAL(109,Table4[TOTAL])</f>
        <v>32974.450000000004</v>
      </c>
    </row>
    <row r="865" spans="1:19" ht="18" customHeight="1" x14ac:dyDescent="0.35">
      <c r="A865" s="145"/>
      <c r="B865" s="146"/>
      <c r="C865" s="145"/>
      <c r="D865" s="146"/>
      <c r="E865" s="147"/>
      <c r="F865" s="147"/>
      <c r="G865" s="148"/>
      <c r="H865" s="149"/>
      <c r="I865" s="150"/>
      <c r="J865" s="146"/>
      <c r="K865" s="151"/>
      <c r="L865" s="152"/>
      <c r="M865" s="153"/>
      <c r="N865" s="253"/>
      <c r="O865" s="253"/>
      <c r="P865" s="253"/>
      <c r="Q865" s="253"/>
      <c r="R865" s="253"/>
      <c r="S865" s="253"/>
    </row>
    <row r="866" spans="1:19" ht="18" customHeight="1" x14ac:dyDescent="0.35">
      <c r="A866" s="145"/>
      <c r="B866" s="146"/>
      <c r="C866" s="145"/>
      <c r="D866" s="146"/>
      <c r="E866" s="147"/>
      <c r="F866" s="147"/>
      <c r="G866" s="148"/>
      <c r="H866" s="149"/>
      <c r="I866" s="150"/>
      <c r="J866" s="146"/>
      <c r="K866" s="151"/>
      <c r="L866" s="152"/>
      <c r="M866" s="153"/>
      <c r="N866" s="154"/>
      <c r="O866" s="154"/>
      <c r="P866" s="154"/>
      <c r="Q866" s="154"/>
      <c r="R866" s="154"/>
      <c r="S866" s="154"/>
    </row>
    <row r="867" spans="1:19" ht="18" customHeight="1" x14ac:dyDescent="0.35">
      <c r="A867" s="145"/>
      <c r="B867" s="146"/>
      <c r="C867" s="145"/>
      <c r="D867" s="146"/>
      <c r="E867" s="147"/>
      <c r="F867" s="147"/>
      <c r="G867" s="148"/>
      <c r="H867" s="149"/>
      <c r="I867" s="150"/>
      <c r="J867" s="146"/>
      <c r="K867" s="151"/>
      <c r="L867" s="152"/>
      <c r="M867" s="153"/>
      <c r="N867" s="178"/>
      <c r="O867" s="178"/>
      <c r="P867" s="178"/>
      <c r="Q867" s="178"/>
      <c r="R867" s="178"/>
      <c r="S867" s="178"/>
    </row>
    <row r="868" spans="1:19" ht="18" customHeight="1" x14ac:dyDescent="0.35">
      <c r="A868" s="145"/>
      <c r="B868" s="146"/>
      <c r="C868" s="145"/>
      <c r="D868" s="146"/>
      <c r="E868" s="147"/>
      <c r="F868" s="147"/>
      <c r="G868" s="148"/>
      <c r="H868" s="149"/>
      <c r="I868" s="150"/>
      <c r="J868" s="146"/>
      <c r="K868" s="151"/>
      <c r="L868" s="152"/>
      <c r="M868" s="153"/>
      <c r="N868" s="178"/>
      <c r="O868" s="178"/>
      <c r="P868" s="178"/>
      <c r="Q868" s="178"/>
      <c r="R868" s="178"/>
      <c r="S868" s="178"/>
    </row>
    <row r="869" spans="1:19" ht="18" customHeight="1" x14ac:dyDescent="0.35">
      <c r="A869" s="145"/>
      <c r="B869" s="146"/>
      <c r="C869" s="145"/>
      <c r="D869" s="146"/>
      <c r="E869" s="147"/>
      <c r="F869" s="147"/>
      <c r="G869" s="148"/>
      <c r="H869" s="149"/>
      <c r="I869" s="150"/>
      <c r="J869" s="146"/>
      <c r="K869" s="151"/>
      <c r="L869" s="152"/>
      <c r="M869" s="153"/>
      <c r="N869" s="154"/>
      <c r="O869" s="154"/>
      <c r="P869" s="154"/>
      <c r="Q869" s="154"/>
      <c r="R869" s="154"/>
      <c r="S869" s="154"/>
    </row>
    <row r="870" spans="1:19" ht="18" customHeight="1" x14ac:dyDescent="0.35">
      <c r="A870" s="145"/>
      <c r="B870" s="146"/>
      <c r="C870" s="145"/>
      <c r="D870" s="146"/>
      <c r="E870" s="147"/>
      <c r="F870" s="147"/>
      <c r="G870" s="148"/>
      <c r="H870" s="149"/>
      <c r="I870" s="150"/>
      <c r="J870" s="146"/>
      <c r="K870" s="151"/>
      <c r="L870" s="152"/>
      <c r="M870" s="153"/>
      <c r="N870" s="154"/>
      <c r="O870" s="154"/>
      <c r="P870" s="154"/>
      <c r="Q870" s="154"/>
      <c r="R870" s="154"/>
      <c r="S870" s="154"/>
    </row>
    <row r="871" spans="1:19" ht="18" customHeight="1" thickBot="1" x14ac:dyDescent="0.4">
      <c r="A871" s="145"/>
      <c r="B871" s="146"/>
      <c r="C871" s="145"/>
      <c r="D871" s="155"/>
      <c r="E871" s="251"/>
      <c r="F871" s="251"/>
      <c r="G871" s="251"/>
      <c r="H871" s="149"/>
      <c r="I871" s="150"/>
      <c r="J871" s="156"/>
      <c r="K871" s="157"/>
      <c r="L871" s="158"/>
      <c r="M871" s="159"/>
      <c r="N871" s="159"/>
      <c r="O871" s="159"/>
      <c r="P871" s="159"/>
      <c r="Q871" s="159"/>
      <c r="R871" s="159"/>
      <c r="S871" s="159"/>
    </row>
    <row r="872" spans="1:19" ht="18" customHeight="1" x14ac:dyDescent="0.35">
      <c r="A872" s="145"/>
      <c r="B872" s="146"/>
      <c r="C872" s="145"/>
      <c r="D872" s="155"/>
      <c r="E872" s="252" t="s">
        <v>645</v>
      </c>
      <c r="F872" s="252"/>
      <c r="G872" s="252"/>
      <c r="H872" s="160"/>
      <c r="I872" s="150"/>
      <c r="J872" s="157" t="s">
        <v>649</v>
      </c>
      <c r="K872" s="157"/>
      <c r="L872" s="158"/>
      <c r="M872" s="256" t="s">
        <v>592</v>
      </c>
      <c r="N872" s="256"/>
      <c r="O872" s="256"/>
      <c r="P872" s="256"/>
      <c r="Q872" s="256"/>
      <c r="R872" s="256"/>
      <c r="S872" s="256"/>
    </row>
    <row r="873" spans="1:19" ht="18" customHeight="1" x14ac:dyDescent="0.35">
      <c r="A873" s="145"/>
      <c r="B873" s="146"/>
      <c r="C873" s="145"/>
      <c r="D873" s="155"/>
      <c r="E873" s="146"/>
      <c r="F873" s="150"/>
      <c r="G873" s="161"/>
      <c r="H873" s="149"/>
      <c r="I873" s="150"/>
      <c r="J873" s="146"/>
      <c r="K873" s="157"/>
      <c r="L873" s="158"/>
      <c r="M873" s="154"/>
      <c r="N873" s="254"/>
      <c r="O873" s="254"/>
      <c r="P873" s="254"/>
      <c r="Q873" s="254"/>
      <c r="R873" s="254"/>
      <c r="S873" s="254"/>
    </row>
    <row r="874" spans="1:19" ht="18" customHeight="1" x14ac:dyDescent="0.35">
      <c r="A874" s="145"/>
      <c r="B874" s="146"/>
      <c r="C874" s="145"/>
      <c r="D874" s="155"/>
      <c r="E874" s="146"/>
      <c r="F874" s="150"/>
      <c r="G874" s="161"/>
      <c r="H874" s="149"/>
      <c r="I874" s="150"/>
      <c r="J874" s="146"/>
      <c r="K874" s="157"/>
      <c r="L874" s="158"/>
      <c r="M874" s="154"/>
      <c r="N874" s="162"/>
      <c r="O874" s="162"/>
      <c r="P874" s="162"/>
      <c r="Q874" s="162"/>
      <c r="R874" s="162"/>
      <c r="S874" s="162"/>
    </row>
    <row r="875" spans="1:19" ht="18" customHeight="1" x14ac:dyDescent="0.35">
      <c r="A875" s="145"/>
      <c r="B875" s="146"/>
      <c r="C875" s="145"/>
      <c r="D875" s="155"/>
      <c r="E875" s="146"/>
      <c r="F875" s="150"/>
      <c r="G875" s="161"/>
      <c r="H875" s="149"/>
      <c r="I875" s="150"/>
      <c r="J875" s="146"/>
      <c r="K875" s="157"/>
      <c r="L875" s="158"/>
      <c r="M875" s="178"/>
      <c r="N875" s="179"/>
      <c r="O875" s="179"/>
      <c r="P875" s="179"/>
      <c r="Q875" s="179"/>
      <c r="R875" s="179"/>
      <c r="S875" s="179"/>
    </row>
    <row r="876" spans="1:19" ht="18" customHeight="1" x14ac:dyDescent="0.35">
      <c r="A876" s="145"/>
      <c r="B876" s="146"/>
      <c r="C876" s="145"/>
      <c r="D876" s="155"/>
      <c r="E876" s="146"/>
      <c r="F876" s="150"/>
      <c r="G876" s="161"/>
      <c r="H876" s="149"/>
      <c r="I876" s="150"/>
      <c r="J876" s="146"/>
      <c r="K876" s="157"/>
      <c r="L876" s="158"/>
      <c r="M876" s="154"/>
      <c r="N876" s="162"/>
      <c r="O876" s="162"/>
      <c r="P876" s="162"/>
      <c r="Q876" s="162"/>
      <c r="R876" s="162"/>
      <c r="S876" s="162"/>
    </row>
    <row r="877" spans="1:19" ht="18" customHeight="1" x14ac:dyDescent="0.35">
      <c r="A877" s="145"/>
      <c r="B877" s="146"/>
      <c r="C877" s="145"/>
      <c r="D877" s="155"/>
      <c r="E877" s="146"/>
      <c r="F877" s="150"/>
      <c r="G877" s="147"/>
      <c r="H877" s="160"/>
      <c r="I877" s="150"/>
      <c r="J877" s="146"/>
      <c r="K877" s="157"/>
      <c r="L877" s="158"/>
      <c r="M877" s="154"/>
      <c r="N877" s="253"/>
      <c r="O877" s="253"/>
      <c r="P877" s="253"/>
      <c r="Q877" s="253"/>
      <c r="R877" s="253"/>
      <c r="S877" s="253"/>
    </row>
    <row r="878" spans="1:19" ht="18" customHeight="1" thickBot="1" x14ac:dyDescent="0.4">
      <c r="A878" s="145"/>
      <c r="B878" s="146"/>
      <c r="C878" s="145"/>
      <c r="D878" s="155"/>
      <c r="E878" s="156"/>
      <c r="F878" s="163"/>
      <c r="G878" s="164"/>
      <c r="H878" s="160"/>
      <c r="I878" s="150"/>
      <c r="J878" s="156"/>
      <c r="K878" s="157"/>
      <c r="L878" s="158"/>
      <c r="M878" s="159"/>
      <c r="N878" s="159"/>
      <c r="O878" s="159"/>
      <c r="P878" s="159"/>
      <c r="Q878" s="159"/>
      <c r="R878" s="159"/>
      <c r="S878" s="159"/>
    </row>
    <row r="879" spans="1:19" ht="18" customHeight="1" x14ac:dyDescent="0.35">
      <c r="A879" s="145"/>
      <c r="B879" s="146"/>
      <c r="C879" s="145"/>
      <c r="D879" s="155"/>
      <c r="E879" s="252" t="s">
        <v>644</v>
      </c>
      <c r="F879" s="252"/>
      <c r="G879" s="252"/>
      <c r="H879" s="160"/>
      <c r="I879" s="150"/>
      <c r="J879" s="157" t="s">
        <v>648</v>
      </c>
      <c r="K879" s="157"/>
      <c r="L879" s="158"/>
      <c r="M879" s="255" t="s">
        <v>557</v>
      </c>
      <c r="N879" s="255"/>
      <c r="O879" s="255"/>
      <c r="P879" s="255"/>
      <c r="Q879" s="255"/>
      <c r="R879" s="255"/>
      <c r="S879" s="255"/>
    </row>
    <row r="880" spans="1:19" ht="18" customHeight="1" x14ac:dyDescent="0.35">
      <c r="A880" s="165"/>
      <c r="B880" s="166"/>
      <c r="C880" s="167"/>
      <c r="D880" s="155"/>
      <c r="E880" s="146"/>
      <c r="F880" s="155"/>
      <c r="G880" s="155"/>
      <c r="H880" s="168"/>
      <c r="I880" s="146"/>
      <c r="J880" s="146"/>
      <c r="K880" s="145"/>
      <c r="L880" s="169"/>
      <c r="M880" s="145"/>
      <c r="N880" s="253"/>
      <c r="O880" s="253"/>
      <c r="P880" s="253"/>
      <c r="Q880" s="253"/>
      <c r="R880" s="253"/>
      <c r="S880" s="253"/>
    </row>
    <row r="881" spans="1:21" ht="18" customHeight="1" x14ac:dyDescent="0.35">
      <c r="A881" s="165"/>
      <c r="B881" s="166"/>
      <c r="C881" s="167"/>
      <c r="D881" s="155"/>
      <c r="E881" s="146"/>
      <c r="F881" s="155"/>
      <c r="G881" s="155"/>
      <c r="H881" s="168"/>
      <c r="I881" s="146"/>
      <c r="J881" s="146"/>
      <c r="K881" s="145"/>
      <c r="L881" s="169"/>
      <c r="M881" s="145"/>
      <c r="N881" s="154"/>
      <c r="O881" s="154"/>
      <c r="P881" s="154"/>
      <c r="Q881" s="154"/>
      <c r="R881" s="154"/>
      <c r="S881" s="154"/>
    </row>
    <row r="882" spans="1:21" ht="18" customHeight="1" x14ac:dyDescent="0.35">
      <c r="A882" s="165"/>
      <c r="B882" s="166"/>
      <c r="C882" s="167"/>
      <c r="D882" s="155"/>
      <c r="E882" s="146"/>
      <c r="F882" s="155"/>
      <c r="G882" s="155"/>
      <c r="H882" s="181"/>
      <c r="I882" s="146"/>
      <c r="J882" s="146"/>
      <c r="K882" s="145"/>
      <c r="L882" s="169"/>
      <c r="M882" s="145"/>
      <c r="N882" s="178"/>
      <c r="O882" s="178"/>
      <c r="P882" s="178"/>
      <c r="Q882" s="178"/>
      <c r="R882" s="178"/>
      <c r="S882" s="178"/>
    </row>
    <row r="883" spans="1:21" ht="18" customHeight="1" x14ac:dyDescent="0.35">
      <c r="A883" s="165"/>
      <c r="B883" s="166"/>
      <c r="C883" s="167"/>
      <c r="D883" s="155"/>
      <c r="E883" s="146"/>
      <c r="F883" s="155"/>
      <c r="G883" s="155"/>
      <c r="H883" s="168"/>
      <c r="I883" s="146"/>
      <c r="J883" s="146"/>
      <c r="K883" s="145"/>
      <c r="L883" s="169"/>
      <c r="M883" s="145"/>
      <c r="N883" s="154"/>
      <c r="O883" s="154"/>
      <c r="P883" s="154"/>
      <c r="Q883" s="154"/>
      <c r="R883" s="154"/>
      <c r="S883" s="154"/>
    </row>
    <row r="884" spans="1:21" ht="18" customHeight="1" x14ac:dyDescent="0.35">
      <c r="A884" s="165"/>
      <c r="B884" s="166"/>
      <c r="C884" s="167"/>
      <c r="D884" s="155"/>
      <c r="E884" s="146"/>
      <c r="F884" s="155"/>
      <c r="G884" s="155"/>
      <c r="H884" s="168"/>
      <c r="I884" s="146"/>
      <c r="J884" s="146"/>
      <c r="K884" s="145"/>
      <c r="L884" s="169"/>
      <c r="M884" s="145"/>
      <c r="N884" s="168"/>
      <c r="O884" s="155"/>
      <c r="P884" s="168"/>
      <c r="Q884" s="168"/>
      <c r="R884" s="155"/>
      <c r="S884" s="170"/>
    </row>
    <row r="885" spans="1:21" ht="18" customHeight="1" thickBot="1" x14ac:dyDescent="0.4">
      <c r="A885" s="165"/>
      <c r="B885" s="166"/>
      <c r="C885" s="167"/>
      <c r="D885" s="155"/>
      <c r="E885" s="156"/>
      <c r="F885" s="156"/>
      <c r="G885" s="156"/>
      <c r="H885" s="168"/>
      <c r="I885" s="146"/>
      <c r="J885" s="156"/>
      <c r="K885" s="145"/>
      <c r="L885" s="169"/>
      <c r="M885" s="251"/>
      <c r="N885" s="251"/>
      <c r="O885" s="251"/>
      <c r="P885" s="251"/>
      <c r="Q885" s="251"/>
      <c r="R885" s="251"/>
      <c r="S885" s="251"/>
    </row>
    <row r="886" spans="1:21" ht="18" customHeight="1" x14ac:dyDescent="0.35">
      <c r="A886" s="165"/>
      <c r="B886" s="166"/>
      <c r="C886" s="167"/>
      <c r="D886" s="146"/>
      <c r="E886" s="252" t="s">
        <v>600</v>
      </c>
      <c r="F886" s="252"/>
      <c r="G886" s="252"/>
      <c r="H886" s="145"/>
      <c r="I886" s="146"/>
      <c r="J886" s="171" t="s">
        <v>464</v>
      </c>
      <c r="K886" s="145"/>
      <c r="L886" s="169"/>
      <c r="M886" s="252" t="s">
        <v>698</v>
      </c>
      <c r="N886" s="252"/>
      <c r="O886" s="252"/>
      <c r="P886" s="252"/>
      <c r="Q886" s="252"/>
      <c r="R886" s="252"/>
      <c r="S886" s="252"/>
    </row>
    <row r="887" spans="1:21" ht="18" customHeight="1" x14ac:dyDescent="0.35">
      <c r="A887" s="165"/>
      <c r="B887" s="166"/>
      <c r="C887" s="167"/>
      <c r="D887" s="146"/>
      <c r="E887" s="146"/>
      <c r="F887" s="146"/>
      <c r="G887" s="146"/>
      <c r="H887" s="145"/>
      <c r="I887" s="146"/>
      <c r="J887" s="146"/>
      <c r="K887" s="145"/>
      <c r="L887" s="169"/>
      <c r="M887" s="181"/>
      <c r="N887" s="181"/>
      <c r="O887" s="155"/>
      <c r="P887" s="181"/>
      <c r="Q887" s="181"/>
      <c r="R887" s="155"/>
      <c r="S887" s="170"/>
    </row>
    <row r="888" spans="1:21" ht="18" customHeight="1" x14ac:dyDescent="0.35">
      <c r="A888" s="165"/>
      <c r="B888" s="166"/>
      <c r="C888" s="167"/>
      <c r="D888" s="146"/>
      <c r="E888" s="146"/>
      <c r="F888" s="146"/>
      <c r="G888" s="146"/>
      <c r="H888" s="145"/>
      <c r="I888" s="146"/>
      <c r="J888" s="146"/>
      <c r="K888" s="145"/>
      <c r="L888" s="169"/>
      <c r="M888" s="145"/>
      <c r="N888" s="168"/>
      <c r="O888" s="155"/>
      <c r="P888" s="168"/>
      <c r="Q888" s="168"/>
      <c r="R888" s="155"/>
      <c r="S888" s="170"/>
    </row>
    <row r="889" spans="1:21" ht="18" customHeight="1" x14ac:dyDescent="0.35">
      <c r="A889" s="165"/>
      <c r="B889" s="166"/>
      <c r="C889" s="167"/>
      <c r="D889" s="146"/>
      <c r="E889" s="146"/>
      <c r="F889" s="146"/>
      <c r="G889" s="146"/>
      <c r="H889" s="145"/>
      <c r="I889" s="146"/>
      <c r="J889" s="146"/>
      <c r="K889" s="145"/>
      <c r="L889" s="169"/>
      <c r="M889" s="145"/>
      <c r="N889" s="181"/>
      <c r="O889" s="155"/>
      <c r="P889" s="181"/>
      <c r="Q889" s="181"/>
      <c r="R889" s="155"/>
      <c r="S889" s="170"/>
    </row>
    <row r="890" spans="1:21" ht="18" customHeight="1" x14ac:dyDescent="0.35">
      <c r="A890" s="165"/>
      <c r="B890" s="166"/>
      <c r="C890" s="167"/>
      <c r="D890" s="146"/>
      <c r="E890" s="146"/>
      <c r="F890" s="146"/>
      <c r="G890" s="146"/>
      <c r="H890" s="145"/>
      <c r="I890" s="146"/>
      <c r="J890" s="146"/>
      <c r="K890" s="145"/>
      <c r="L890" s="169"/>
      <c r="M890" s="145"/>
      <c r="N890" s="168"/>
      <c r="O890" s="155"/>
      <c r="P890" s="168"/>
      <c r="Q890" s="168"/>
      <c r="R890" s="155"/>
      <c r="S890" s="170"/>
    </row>
    <row r="891" spans="1:21" ht="18" customHeight="1" x14ac:dyDescent="0.35">
      <c r="A891" s="165"/>
      <c r="B891" s="166"/>
      <c r="C891" s="167"/>
      <c r="D891" s="146"/>
      <c r="E891" s="146"/>
      <c r="F891" s="146"/>
      <c r="G891" s="146"/>
      <c r="H891" s="145"/>
      <c r="I891" s="146"/>
      <c r="J891" s="146"/>
      <c r="K891" s="145"/>
      <c r="L891" s="169"/>
      <c r="M891" s="145"/>
      <c r="N891" s="168"/>
      <c r="O891" s="155"/>
      <c r="P891" s="168"/>
      <c r="Q891" s="168"/>
      <c r="R891" s="155"/>
      <c r="S891" s="170"/>
    </row>
    <row r="892" spans="1:21" ht="18" customHeight="1" thickBot="1" x14ac:dyDescent="0.4">
      <c r="A892" s="165"/>
      <c r="B892" s="166"/>
      <c r="C892" s="167"/>
      <c r="D892" s="146"/>
      <c r="E892" s="156"/>
      <c r="F892" s="156"/>
      <c r="G892" s="156"/>
      <c r="H892" s="145"/>
      <c r="I892" s="146"/>
      <c r="J892" s="156"/>
      <c r="K892" s="145"/>
      <c r="L892" s="169"/>
      <c r="M892" s="251"/>
      <c r="N892" s="251"/>
      <c r="O892" s="251"/>
      <c r="P892" s="251"/>
      <c r="Q892" s="251"/>
      <c r="R892" s="251"/>
      <c r="S892" s="251"/>
      <c r="T892" s="180"/>
      <c r="U892" s="180"/>
    </row>
    <row r="893" spans="1:21" ht="18" customHeight="1" x14ac:dyDescent="0.35">
      <c r="A893" s="165"/>
      <c r="B893" s="166"/>
      <c r="C893" s="167"/>
      <c r="D893" s="146"/>
      <c r="E893" s="252" t="s">
        <v>646</v>
      </c>
      <c r="F893" s="252"/>
      <c r="G893" s="252"/>
      <c r="H893" s="145"/>
      <c r="I893" s="146"/>
      <c r="J893" s="157" t="s">
        <v>19</v>
      </c>
      <c r="K893" s="145"/>
      <c r="L893" s="169"/>
      <c r="M893" s="252" t="s">
        <v>52</v>
      </c>
      <c r="N893" s="252"/>
      <c r="O893" s="252"/>
      <c r="P893" s="252"/>
      <c r="Q893" s="252"/>
      <c r="R893" s="252"/>
      <c r="S893" s="252"/>
      <c r="T893" s="180"/>
      <c r="U893" s="180"/>
    </row>
    <row r="894" spans="1:21" ht="18" customHeight="1" x14ac:dyDescent="0.35">
      <c r="A894" s="165"/>
      <c r="B894" s="166"/>
      <c r="C894" s="167"/>
      <c r="D894" s="146"/>
      <c r="E894" s="146"/>
      <c r="F894" s="146"/>
      <c r="G894" s="146"/>
      <c r="H894" s="145"/>
      <c r="I894" s="146"/>
      <c r="J894" s="146"/>
      <c r="K894" s="145"/>
      <c r="L894" s="169"/>
      <c r="M894" s="168"/>
      <c r="N894" s="168"/>
      <c r="O894" s="155"/>
      <c r="P894" s="168"/>
      <c r="Q894" s="168"/>
      <c r="R894" s="155"/>
      <c r="S894" s="170"/>
      <c r="T894" s="180"/>
      <c r="U894" s="180"/>
    </row>
    <row r="895" spans="1:21" ht="18" customHeight="1" x14ac:dyDescent="0.35">
      <c r="A895" s="165"/>
      <c r="B895" s="166"/>
      <c r="C895" s="167"/>
      <c r="D895" s="146"/>
      <c r="E895" s="146"/>
      <c r="F895" s="146"/>
      <c r="G895" s="146"/>
      <c r="H895" s="145"/>
      <c r="I895" s="146"/>
      <c r="J895" s="146"/>
      <c r="K895" s="145"/>
      <c r="L895" s="169"/>
      <c r="M895" s="145"/>
      <c r="N895" s="145"/>
      <c r="O895" s="146"/>
      <c r="P895" s="145"/>
      <c r="Q895" s="145"/>
      <c r="R895" s="146"/>
      <c r="S895" s="172"/>
    </row>
    <row r="896" spans="1:21" ht="18" customHeight="1" x14ac:dyDescent="0.25">
      <c r="D896"/>
      <c r="E896"/>
      <c r="F896"/>
    </row>
    <row r="897" spans="1:19" s="186" customFormat="1" ht="30" customHeight="1" x14ac:dyDescent="0.3">
      <c r="A897" s="183"/>
      <c r="B897" s="184"/>
      <c r="C897" s="185"/>
      <c r="E897" s="225"/>
      <c r="F897" s="225"/>
      <c r="H897" s="187"/>
      <c r="K897" s="187"/>
      <c r="L897" s="188"/>
      <c r="M897" s="187"/>
      <c r="N897" s="187"/>
      <c r="P897" s="187"/>
      <c r="Q897" s="187"/>
      <c r="S897" s="189"/>
    </row>
    <row r="898" spans="1:19" s="186" customFormat="1" ht="30" customHeight="1" x14ac:dyDescent="0.3">
      <c r="A898" s="183"/>
      <c r="B898" s="184"/>
      <c r="C898" s="185"/>
      <c r="E898" s="226"/>
      <c r="F898" s="227"/>
      <c r="H898" s="187"/>
      <c r="K898" s="187"/>
      <c r="L898" s="188"/>
      <c r="M898" s="187"/>
      <c r="N898" s="187"/>
      <c r="P898" s="187"/>
      <c r="Q898" s="187"/>
      <c r="S898" s="189"/>
    </row>
    <row r="899" spans="1:19" s="186" customFormat="1" ht="30" customHeight="1" x14ac:dyDescent="0.3">
      <c r="A899" s="183"/>
      <c r="B899" s="184"/>
      <c r="C899" s="185"/>
      <c r="E899" s="228"/>
      <c r="F899" s="229"/>
      <c r="H899" s="187"/>
      <c r="K899" s="187"/>
      <c r="L899" s="188"/>
      <c r="M899" s="187"/>
      <c r="N899" s="187"/>
      <c r="P899" s="187"/>
      <c r="Q899" s="187"/>
      <c r="S899" s="189"/>
    </row>
    <row r="900" spans="1:19" s="186" customFormat="1" ht="30" customHeight="1" x14ac:dyDescent="0.3">
      <c r="A900" s="183"/>
      <c r="B900" s="184"/>
      <c r="C900" s="185"/>
      <c r="E900" s="228"/>
      <c r="F900" s="229"/>
      <c r="H900" s="187"/>
      <c r="K900" s="187"/>
      <c r="L900" s="188"/>
      <c r="M900" s="187"/>
      <c r="N900" s="187"/>
      <c r="P900" s="187"/>
      <c r="Q900" s="187"/>
      <c r="S900" s="189"/>
    </row>
    <row r="901" spans="1:19" s="186" customFormat="1" ht="30" customHeight="1" x14ac:dyDescent="0.3">
      <c r="A901" s="183"/>
      <c r="B901" s="184"/>
      <c r="C901" s="185"/>
      <c r="E901" s="228"/>
      <c r="F901" s="229"/>
      <c r="H901" s="187"/>
      <c r="K901" s="187"/>
      <c r="L901" s="188"/>
      <c r="M901" s="187"/>
      <c r="N901" s="187"/>
      <c r="P901" s="187"/>
      <c r="Q901" s="187"/>
      <c r="S901" s="189"/>
    </row>
    <row r="902" spans="1:19" s="186" customFormat="1" ht="30" customHeight="1" x14ac:dyDescent="0.3">
      <c r="A902" s="183"/>
      <c r="B902" s="184"/>
      <c r="C902" s="185"/>
      <c r="E902" s="226"/>
      <c r="F902" s="227"/>
      <c r="H902" s="187"/>
      <c r="K902" s="187"/>
      <c r="L902" s="188"/>
      <c r="M902" s="187"/>
      <c r="N902" s="187"/>
      <c r="P902" s="187"/>
      <c r="Q902" s="187"/>
      <c r="S902" s="189"/>
    </row>
    <row r="903" spans="1:19" s="186" customFormat="1" ht="30" customHeight="1" x14ac:dyDescent="0.3">
      <c r="A903" s="183"/>
      <c r="B903" s="184"/>
      <c r="C903" s="185"/>
      <c r="E903" s="228"/>
      <c r="F903" s="229"/>
      <c r="H903" s="187"/>
      <c r="K903" s="187"/>
      <c r="L903" s="188"/>
      <c r="M903" s="187"/>
      <c r="N903" s="187"/>
      <c r="P903" s="187"/>
      <c r="Q903" s="187"/>
      <c r="S903" s="189"/>
    </row>
    <row r="904" spans="1:19" s="186" customFormat="1" ht="30" customHeight="1" x14ac:dyDescent="0.3">
      <c r="A904" s="183"/>
      <c r="B904" s="184"/>
      <c r="C904" s="185"/>
      <c r="E904" s="226"/>
      <c r="F904" s="227"/>
      <c r="H904" s="187"/>
      <c r="K904" s="187"/>
      <c r="L904" s="188"/>
      <c r="M904" s="187"/>
      <c r="N904" s="187"/>
      <c r="P904" s="187"/>
      <c r="Q904" s="187"/>
      <c r="S904" s="189"/>
    </row>
    <row r="905" spans="1:19" s="186" customFormat="1" ht="30" customHeight="1" x14ac:dyDescent="0.3">
      <c r="A905" s="183"/>
      <c r="B905" s="184"/>
      <c r="C905" s="185"/>
      <c r="E905" s="228"/>
      <c r="F905" s="229"/>
      <c r="H905" s="187"/>
      <c r="K905" s="187"/>
      <c r="L905" s="188"/>
      <c r="M905" s="187"/>
      <c r="N905" s="187"/>
      <c r="P905" s="187"/>
      <c r="Q905" s="187"/>
      <c r="S905" s="189"/>
    </row>
    <row r="906" spans="1:19" s="186" customFormat="1" ht="30" customHeight="1" x14ac:dyDescent="0.3">
      <c r="A906" s="183"/>
      <c r="B906" s="184"/>
      <c r="C906" s="185"/>
      <c r="E906" s="228"/>
      <c r="F906" s="229"/>
      <c r="H906" s="187"/>
      <c r="K906" s="187"/>
      <c r="L906" s="188"/>
      <c r="M906" s="187"/>
      <c r="N906" s="187"/>
      <c r="P906" s="187"/>
      <c r="Q906" s="187"/>
      <c r="S906" s="189"/>
    </row>
    <row r="907" spans="1:19" s="186" customFormat="1" ht="30" customHeight="1" x14ac:dyDescent="0.3">
      <c r="A907" s="183"/>
      <c r="B907" s="184"/>
      <c r="C907" s="185"/>
      <c r="E907" s="228"/>
      <c r="F907" s="229"/>
      <c r="H907" s="187"/>
      <c r="K907" s="187"/>
      <c r="L907" s="188"/>
      <c r="M907" s="187"/>
      <c r="N907" s="187"/>
      <c r="P907" s="187"/>
      <c r="Q907" s="187"/>
      <c r="S907" s="189"/>
    </row>
    <row r="908" spans="1:19" s="186" customFormat="1" ht="30" customHeight="1" x14ac:dyDescent="0.3">
      <c r="A908" s="183"/>
      <c r="B908" s="184"/>
      <c r="C908" s="185"/>
      <c r="E908" s="228"/>
      <c r="F908" s="229"/>
      <c r="H908" s="187"/>
      <c r="K908" s="187"/>
      <c r="L908" s="188"/>
      <c r="M908" s="187"/>
      <c r="N908" s="187"/>
      <c r="P908" s="187"/>
      <c r="Q908" s="187"/>
      <c r="S908" s="189"/>
    </row>
    <row r="909" spans="1:19" s="186" customFormat="1" ht="30" customHeight="1" x14ac:dyDescent="0.3">
      <c r="A909" s="183"/>
      <c r="B909" s="184"/>
      <c r="C909" s="185"/>
      <c r="E909" s="226"/>
      <c r="F909" s="227"/>
      <c r="G909" s="230"/>
      <c r="H909" s="187"/>
      <c r="K909" s="187"/>
      <c r="L909" s="188"/>
      <c r="M909" s="187"/>
      <c r="N909" s="187"/>
      <c r="P909" s="187"/>
      <c r="Q909" s="187"/>
      <c r="S909" s="189"/>
    </row>
    <row r="910" spans="1:19" ht="15" x14ac:dyDescent="0.25">
      <c r="D910"/>
      <c r="E910" s="231"/>
      <c r="F910" s="231"/>
      <c r="G910" s="232"/>
    </row>
    <row r="911" spans="1:19" ht="15" x14ac:dyDescent="0.25">
      <c r="D911"/>
      <c r="E911"/>
      <c r="F911"/>
    </row>
    <row r="912" spans="1:19" ht="15" x14ac:dyDescent="0.25">
      <c r="D912"/>
      <c r="E912"/>
      <c r="F912"/>
    </row>
    <row r="913" spans="4:6" ht="15" x14ac:dyDescent="0.25">
      <c r="D913"/>
      <c r="E913"/>
      <c r="F913"/>
    </row>
    <row r="914" spans="4:6" ht="15" x14ac:dyDescent="0.25">
      <c r="D914"/>
      <c r="E914"/>
      <c r="F914"/>
    </row>
    <row r="915" spans="4:6" ht="15" x14ac:dyDescent="0.25">
      <c r="D915"/>
      <c r="E915"/>
      <c r="F915"/>
    </row>
    <row r="916" spans="4:6" ht="15" x14ac:dyDescent="0.25">
      <c r="D916"/>
      <c r="E916"/>
      <c r="F916"/>
    </row>
    <row r="917" spans="4:6" ht="15" x14ac:dyDescent="0.25">
      <c r="D917"/>
      <c r="E917"/>
      <c r="F917"/>
    </row>
    <row r="918" spans="4:6" ht="15" x14ac:dyDescent="0.25">
      <c r="D918"/>
      <c r="E918"/>
      <c r="F918"/>
    </row>
    <row r="919" spans="4:6" ht="15" x14ac:dyDescent="0.25">
      <c r="D919"/>
      <c r="E919"/>
      <c r="F919"/>
    </row>
    <row r="920" spans="4:6" ht="15" x14ac:dyDescent="0.25">
      <c r="D920"/>
      <c r="E920"/>
      <c r="F920"/>
    </row>
    <row r="921" spans="4:6" ht="15" x14ac:dyDescent="0.25">
      <c r="D921"/>
      <c r="E921"/>
      <c r="F921"/>
    </row>
    <row r="922" spans="4:6" ht="15" x14ac:dyDescent="0.25">
      <c r="D922"/>
      <c r="E922"/>
      <c r="F922"/>
    </row>
    <row r="923" spans="4:6" ht="15" x14ac:dyDescent="0.25">
      <c r="D923"/>
      <c r="E923"/>
      <c r="F923"/>
    </row>
    <row r="924" spans="4:6" ht="15" x14ac:dyDescent="0.25">
      <c r="D924"/>
      <c r="E924"/>
      <c r="F924"/>
    </row>
    <row r="925" spans="4:6" ht="15" x14ac:dyDescent="0.25">
      <c r="D925"/>
      <c r="E925"/>
      <c r="F925"/>
    </row>
    <row r="926" spans="4:6" ht="15" x14ac:dyDescent="0.25">
      <c r="D926"/>
      <c r="E926"/>
      <c r="F926"/>
    </row>
    <row r="927" spans="4:6" ht="15" x14ac:dyDescent="0.25">
      <c r="D927"/>
      <c r="E927"/>
      <c r="F927"/>
    </row>
    <row r="928" spans="4:6" ht="15" x14ac:dyDescent="0.25">
      <c r="D928"/>
      <c r="E928"/>
      <c r="F928"/>
    </row>
    <row r="929" spans="4:6" ht="15" x14ac:dyDescent="0.25">
      <c r="D929"/>
      <c r="E929"/>
      <c r="F929"/>
    </row>
    <row r="930" spans="4:6" ht="15" x14ac:dyDescent="0.25">
      <c r="D930"/>
      <c r="E930"/>
      <c r="F930"/>
    </row>
    <row r="931" spans="4:6" ht="15" x14ac:dyDescent="0.25">
      <c r="D931"/>
      <c r="E931"/>
      <c r="F931"/>
    </row>
    <row r="932" spans="4:6" ht="15" x14ac:dyDescent="0.25">
      <c r="D932"/>
      <c r="E932"/>
      <c r="F932"/>
    </row>
    <row r="933" spans="4:6" ht="15" x14ac:dyDescent="0.25">
      <c r="D933"/>
      <c r="E933"/>
      <c r="F933"/>
    </row>
    <row r="934" spans="4:6" ht="15" x14ac:dyDescent="0.25">
      <c r="D934"/>
      <c r="E934"/>
      <c r="F934"/>
    </row>
    <row r="935" spans="4:6" ht="15" x14ac:dyDescent="0.25">
      <c r="D935"/>
      <c r="E935"/>
      <c r="F935"/>
    </row>
    <row r="936" spans="4:6" ht="15" x14ac:dyDescent="0.25">
      <c r="D936"/>
      <c r="E936"/>
      <c r="F936"/>
    </row>
    <row r="937" spans="4:6" ht="15" x14ac:dyDescent="0.25">
      <c r="D937"/>
      <c r="E937"/>
      <c r="F937"/>
    </row>
    <row r="938" spans="4:6" ht="15" x14ac:dyDescent="0.25">
      <c r="D938"/>
      <c r="E938"/>
      <c r="F938"/>
    </row>
    <row r="939" spans="4:6" ht="15" x14ac:dyDescent="0.25">
      <c r="D939"/>
      <c r="E939"/>
      <c r="F939"/>
    </row>
    <row r="940" spans="4:6" ht="15" x14ac:dyDescent="0.25">
      <c r="D940"/>
      <c r="E940"/>
      <c r="F940"/>
    </row>
    <row r="941" spans="4:6" ht="15" x14ac:dyDescent="0.25">
      <c r="D941"/>
      <c r="E941"/>
      <c r="F941"/>
    </row>
    <row r="942" spans="4:6" ht="15" x14ac:dyDescent="0.25">
      <c r="D942"/>
      <c r="E942"/>
      <c r="F942"/>
    </row>
    <row r="943" spans="4:6" ht="15" x14ac:dyDescent="0.25">
      <c r="D943"/>
      <c r="E943"/>
      <c r="F943"/>
    </row>
    <row r="944" spans="4:6" ht="15" x14ac:dyDescent="0.25">
      <c r="D944"/>
      <c r="E944"/>
      <c r="F944"/>
    </row>
    <row r="945" spans="4:6" ht="15" x14ac:dyDescent="0.25">
      <c r="D945"/>
      <c r="E945"/>
      <c r="F945"/>
    </row>
    <row r="946" spans="4:6" ht="15" x14ac:dyDescent="0.25">
      <c r="D946"/>
      <c r="E946"/>
      <c r="F946"/>
    </row>
    <row r="947" spans="4:6" ht="15" x14ac:dyDescent="0.25">
      <c r="D947"/>
      <c r="E947"/>
      <c r="F947"/>
    </row>
    <row r="948" spans="4:6" ht="15" x14ac:dyDescent="0.25">
      <c r="D948"/>
      <c r="E948"/>
      <c r="F948"/>
    </row>
    <row r="949" spans="4:6" ht="15" x14ac:dyDescent="0.25">
      <c r="D949"/>
      <c r="E949"/>
      <c r="F949"/>
    </row>
    <row r="950" spans="4:6" ht="15" x14ac:dyDescent="0.25">
      <c r="D950"/>
      <c r="E950"/>
      <c r="F950"/>
    </row>
    <row r="951" spans="4:6" ht="15" x14ac:dyDescent="0.25">
      <c r="D951"/>
      <c r="E951"/>
      <c r="F951"/>
    </row>
    <row r="952" spans="4:6" ht="15" x14ac:dyDescent="0.25">
      <c r="D952"/>
      <c r="E952"/>
      <c r="F952"/>
    </row>
    <row r="953" spans="4:6" ht="15" x14ac:dyDescent="0.25">
      <c r="D953"/>
      <c r="E953"/>
      <c r="F953"/>
    </row>
    <row r="954" spans="4:6" ht="15" x14ac:dyDescent="0.25">
      <c r="D954"/>
      <c r="E954"/>
      <c r="F954"/>
    </row>
    <row r="955" spans="4:6" ht="15" x14ac:dyDescent="0.25">
      <c r="D955"/>
      <c r="E955"/>
      <c r="F955"/>
    </row>
    <row r="956" spans="4:6" ht="15" x14ac:dyDescent="0.25">
      <c r="D956"/>
      <c r="E956"/>
      <c r="F956"/>
    </row>
    <row r="957" spans="4:6" ht="15" x14ac:dyDescent="0.25">
      <c r="D957"/>
      <c r="E957"/>
      <c r="F957"/>
    </row>
    <row r="958" spans="4:6" ht="15" x14ac:dyDescent="0.25">
      <c r="D958"/>
      <c r="E958"/>
      <c r="F958"/>
    </row>
    <row r="959" spans="4:6" ht="15" x14ac:dyDescent="0.25">
      <c r="D959"/>
      <c r="E959"/>
      <c r="F959"/>
    </row>
    <row r="960" spans="4:6" ht="15" x14ac:dyDescent="0.25">
      <c r="D960"/>
      <c r="E960"/>
      <c r="F960"/>
    </row>
    <row r="961" spans="4:6" ht="15" x14ac:dyDescent="0.25">
      <c r="D961"/>
      <c r="E961"/>
      <c r="F961"/>
    </row>
    <row r="962" spans="4:6" ht="15" x14ac:dyDescent="0.25">
      <c r="D962"/>
      <c r="E962"/>
      <c r="F962"/>
    </row>
    <row r="963" spans="4:6" ht="15" x14ac:dyDescent="0.25">
      <c r="D963"/>
      <c r="E963"/>
      <c r="F963"/>
    </row>
    <row r="964" spans="4:6" ht="15" x14ac:dyDescent="0.25">
      <c r="D964"/>
      <c r="E964"/>
      <c r="F964"/>
    </row>
    <row r="965" spans="4:6" ht="15" x14ac:dyDescent="0.25">
      <c r="D965"/>
      <c r="E965"/>
      <c r="F965"/>
    </row>
    <row r="966" spans="4:6" ht="15" x14ac:dyDescent="0.25">
      <c r="D966"/>
      <c r="E966"/>
      <c r="F966"/>
    </row>
    <row r="967" spans="4:6" ht="15" x14ac:dyDescent="0.25">
      <c r="D967"/>
      <c r="E967"/>
      <c r="F967"/>
    </row>
    <row r="968" spans="4:6" ht="15" x14ac:dyDescent="0.25">
      <c r="D968"/>
      <c r="E968"/>
      <c r="F968"/>
    </row>
    <row r="969" spans="4:6" ht="15" x14ac:dyDescent="0.25">
      <c r="D969"/>
      <c r="E969"/>
      <c r="F969"/>
    </row>
    <row r="970" spans="4:6" ht="15" x14ac:dyDescent="0.25">
      <c r="D970"/>
      <c r="E970"/>
      <c r="F970"/>
    </row>
    <row r="971" spans="4:6" ht="15" x14ac:dyDescent="0.25">
      <c r="D971"/>
      <c r="E971"/>
      <c r="F971"/>
    </row>
    <row r="972" spans="4:6" ht="15" x14ac:dyDescent="0.25">
      <c r="D972"/>
      <c r="E972"/>
      <c r="F972"/>
    </row>
    <row r="973" spans="4:6" ht="15" x14ac:dyDescent="0.25">
      <c r="D973"/>
      <c r="E973"/>
      <c r="F973"/>
    </row>
    <row r="974" spans="4:6" ht="15" x14ac:dyDescent="0.25">
      <c r="D974"/>
      <c r="E974"/>
      <c r="F974"/>
    </row>
    <row r="975" spans="4:6" ht="15" x14ac:dyDescent="0.25">
      <c r="D975"/>
      <c r="E975"/>
      <c r="F975"/>
    </row>
    <row r="976" spans="4:6" ht="15" x14ac:dyDescent="0.25">
      <c r="D976"/>
      <c r="E976"/>
      <c r="F976"/>
    </row>
    <row r="977" spans="4:6" ht="15" x14ac:dyDescent="0.25">
      <c r="D977"/>
      <c r="E977"/>
      <c r="F977"/>
    </row>
    <row r="978" spans="4:6" ht="15" x14ac:dyDescent="0.25">
      <c r="D978"/>
      <c r="E978"/>
      <c r="F978"/>
    </row>
    <row r="979" spans="4:6" ht="15" x14ac:dyDescent="0.25">
      <c r="D979"/>
      <c r="E979"/>
      <c r="F979"/>
    </row>
    <row r="980" spans="4:6" ht="15" x14ac:dyDescent="0.25">
      <c r="D980"/>
      <c r="E980"/>
      <c r="F980"/>
    </row>
    <row r="981" spans="4:6" ht="15" x14ac:dyDescent="0.25">
      <c r="D981"/>
      <c r="E981"/>
      <c r="F981"/>
    </row>
    <row r="982" spans="4:6" ht="15" x14ac:dyDescent="0.25">
      <c r="D982"/>
      <c r="E982"/>
      <c r="F982"/>
    </row>
    <row r="983" spans="4:6" ht="15" x14ac:dyDescent="0.25">
      <c r="D983"/>
      <c r="E983"/>
      <c r="F983"/>
    </row>
    <row r="984" spans="4:6" ht="15" x14ac:dyDescent="0.25">
      <c r="D984"/>
      <c r="E984"/>
      <c r="F984"/>
    </row>
    <row r="985" spans="4:6" ht="15" x14ac:dyDescent="0.25">
      <c r="D985"/>
      <c r="E985"/>
      <c r="F985"/>
    </row>
    <row r="986" spans="4:6" ht="15" x14ac:dyDescent="0.25">
      <c r="D986"/>
      <c r="E986"/>
      <c r="F986"/>
    </row>
    <row r="987" spans="4:6" ht="15" x14ac:dyDescent="0.25">
      <c r="D987"/>
      <c r="E987"/>
      <c r="F987"/>
    </row>
    <row r="988" spans="4:6" ht="15" x14ac:dyDescent="0.25">
      <c r="D988"/>
      <c r="E988"/>
      <c r="F988"/>
    </row>
    <row r="989" spans="4:6" ht="15" x14ac:dyDescent="0.25">
      <c r="D989"/>
      <c r="E989"/>
      <c r="F989"/>
    </row>
    <row r="990" spans="4:6" ht="15" x14ac:dyDescent="0.25">
      <c r="D990"/>
      <c r="E990"/>
      <c r="F990"/>
    </row>
    <row r="991" spans="4:6" ht="15" x14ac:dyDescent="0.25">
      <c r="D991"/>
      <c r="E991"/>
      <c r="F991"/>
    </row>
    <row r="992" spans="4:6" ht="15" x14ac:dyDescent="0.25">
      <c r="D992"/>
      <c r="E992"/>
      <c r="F992"/>
    </row>
    <row r="993" spans="4:6" ht="15" x14ac:dyDescent="0.25">
      <c r="D993"/>
      <c r="E993"/>
      <c r="F993"/>
    </row>
    <row r="994" spans="4:6" ht="15" x14ac:dyDescent="0.25">
      <c r="D994"/>
      <c r="E994"/>
      <c r="F994"/>
    </row>
    <row r="995" spans="4:6" ht="15" x14ac:dyDescent="0.25">
      <c r="D995"/>
      <c r="E995"/>
      <c r="F995"/>
    </row>
    <row r="996" spans="4:6" ht="15" x14ac:dyDescent="0.25">
      <c r="D996"/>
      <c r="E996"/>
      <c r="F996"/>
    </row>
    <row r="997" spans="4:6" ht="15" x14ac:dyDescent="0.25">
      <c r="D997"/>
      <c r="E997"/>
      <c r="F997"/>
    </row>
    <row r="998" spans="4:6" ht="15" x14ac:dyDescent="0.25">
      <c r="D998"/>
      <c r="E998"/>
      <c r="F998"/>
    </row>
    <row r="999" spans="4:6" ht="15" x14ac:dyDescent="0.25">
      <c r="D999"/>
      <c r="E999"/>
      <c r="F999"/>
    </row>
    <row r="1000" spans="4:6" ht="15" x14ac:dyDescent="0.25">
      <c r="D1000"/>
      <c r="E1000"/>
      <c r="F1000"/>
    </row>
    <row r="1001" spans="4:6" ht="15" x14ac:dyDescent="0.25">
      <c r="D1001"/>
      <c r="E1001"/>
      <c r="F1001"/>
    </row>
    <row r="1002" spans="4:6" ht="15" x14ac:dyDescent="0.25">
      <c r="D1002"/>
      <c r="E1002"/>
      <c r="F1002"/>
    </row>
    <row r="1003" spans="4:6" ht="15" x14ac:dyDescent="0.25">
      <c r="D1003"/>
      <c r="E1003"/>
      <c r="F1003"/>
    </row>
    <row r="1004" spans="4:6" ht="15" x14ac:dyDescent="0.25">
      <c r="D1004"/>
      <c r="E1004"/>
      <c r="F1004"/>
    </row>
    <row r="1005" spans="4:6" ht="15" x14ac:dyDescent="0.25">
      <c r="D1005"/>
      <c r="E1005"/>
      <c r="F1005"/>
    </row>
    <row r="1006" spans="4:6" ht="15" x14ac:dyDescent="0.25">
      <c r="D1006"/>
      <c r="E1006"/>
      <c r="F1006"/>
    </row>
    <row r="1007" spans="4:6" ht="15" x14ac:dyDescent="0.25">
      <c r="D1007"/>
      <c r="E1007"/>
      <c r="F1007"/>
    </row>
    <row r="1008" spans="4:6" ht="15" x14ac:dyDescent="0.25">
      <c r="D1008"/>
      <c r="E1008"/>
      <c r="F1008"/>
    </row>
    <row r="1009" spans="4:6" ht="15" x14ac:dyDescent="0.25">
      <c r="D1009"/>
      <c r="E1009"/>
      <c r="F1009"/>
    </row>
    <row r="1010" spans="4:6" ht="15" x14ac:dyDescent="0.25">
      <c r="D1010"/>
      <c r="E1010"/>
      <c r="F1010"/>
    </row>
    <row r="1011" spans="4:6" ht="15" x14ac:dyDescent="0.25">
      <c r="D1011"/>
      <c r="E1011"/>
      <c r="F1011"/>
    </row>
    <row r="1012" spans="4:6" ht="15" x14ac:dyDescent="0.25">
      <c r="D1012"/>
      <c r="E1012"/>
      <c r="F1012"/>
    </row>
    <row r="1013" spans="4:6" ht="15" x14ac:dyDescent="0.25">
      <c r="D1013"/>
      <c r="E1013"/>
      <c r="F1013"/>
    </row>
    <row r="1014" spans="4:6" ht="15" x14ac:dyDescent="0.25">
      <c r="D1014"/>
      <c r="E1014"/>
      <c r="F1014"/>
    </row>
    <row r="1015" spans="4:6" ht="15" x14ac:dyDescent="0.25">
      <c r="D1015"/>
      <c r="E1015"/>
      <c r="F1015"/>
    </row>
    <row r="1016" spans="4:6" ht="15" x14ac:dyDescent="0.25">
      <c r="D1016"/>
      <c r="E1016"/>
      <c r="F1016"/>
    </row>
    <row r="1017" spans="4:6" ht="15" x14ac:dyDescent="0.25">
      <c r="D1017"/>
      <c r="E1017"/>
      <c r="F1017"/>
    </row>
    <row r="1018" spans="4:6" ht="15" x14ac:dyDescent="0.25">
      <c r="D1018"/>
      <c r="E1018"/>
      <c r="F1018"/>
    </row>
    <row r="1019" spans="4:6" ht="15" x14ac:dyDescent="0.25">
      <c r="D1019"/>
      <c r="E1019"/>
      <c r="F1019"/>
    </row>
    <row r="1020" spans="4:6" ht="15" x14ac:dyDescent="0.25">
      <c r="D1020"/>
      <c r="E1020"/>
      <c r="F1020"/>
    </row>
    <row r="1021" spans="4:6" ht="15" x14ac:dyDescent="0.25">
      <c r="D1021"/>
      <c r="E1021"/>
      <c r="F1021"/>
    </row>
    <row r="1022" spans="4:6" ht="15" x14ac:dyDescent="0.25">
      <c r="D1022"/>
      <c r="E1022"/>
      <c r="F1022"/>
    </row>
    <row r="1023" spans="4:6" ht="15" x14ac:dyDescent="0.25">
      <c r="D1023"/>
      <c r="E1023"/>
      <c r="F1023"/>
    </row>
    <row r="1024" spans="4:6" ht="15" x14ac:dyDescent="0.25">
      <c r="D1024"/>
      <c r="E1024"/>
      <c r="F1024"/>
    </row>
    <row r="1025" spans="4:6" ht="15" x14ac:dyDescent="0.25">
      <c r="D1025"/>
      <c r="E1025"/>
      <c r="F1025"/>
    </row>
    <row r="1026" spans="4:6" ht="15" x14ac:dyDescent="0.25">
      <c r="D1026"/>
      <c r="E1026"/>
      <c r="F1026"/>
    </row>
    <row r="1027" spans="4:6" ht="15" x14ac:dyDescent="0.25">
      <c r="D1027"/>
      <c r="E1027"/>
      <c r="F1027"/>
    </row>
    <row r="1028" spans="4:6" ht="15" x14ac:dyDescent="0.25">
      <c r="D1028"/>
      <c r="E1028"/>
      <c r="F1028"/>
    </row>
    <row r="1029" spans="4:6" ht="15" x14ac:dyDescent="0.25">
      <c r="D1029"/>
      <c r="E1029"/>
      <c r="F1029"/>
    </row>
    <row r="1030" spans="4:6" ht="15" x14ac:dyDescent="0.25">
      <c r="D1030"/>
      <c r="E1030"/>
      <c r="F1030"/>
    </row>
    <row r="1031" spans="4:6" ht="15" x14ac:dyDescent="0.25">
      <c r="D1031"/>
      <c r="E1031"/>
      <c r="F1031"/>
    </row>
    <row r="1032" spans="4:6" ht="15" x14ac:dyDescent="0.25">
      <c r="D1032"/>
      <c r="E1032"/>
      <c r="F1032"/>
    </row>
    <row r="1033" spans="4:6" ht="15" x14ac:dyDescent="0.25">
      <c r="D1033"/>
      <c r="E1033"/>
      <c r="F1033"/>
    </row>
    <row r="1034" spans="4:6" ht="15" x14ac:dyDescent="0.25">
      <c r="D1034"/>
      <c r="E1034"/>
      <c r="F1034"/>
    </row>
    <row r="1035" spans="4:6" ht="15" x14ac:dyDescent="0.25">
      <c r="D1035"/>
      <c r="E1035"/>
      <c r="F1035"/>
    </row>
    <row r="1036" spans="4:6" ht="15" x14ac:dyDescent="0.25">
      <c r="D1036"/>
      <c r="E1036"/>
      <c r="F1036"/>
    </row>
    <row r="1037" spans="4:6" ht="15" x14ac:dyDescent="0.25">
      <c r="D1037"/>
      <c r="E1037"/>
      <c r="F1037"/>
    </row>
    <row r="1038" spans="4:6" ht="15" x14ac:dyDescent="0.25">
      <c r="D1038"/>
      <c r="E1038"/>
      <c r="F1038"/>
    </row>
    <row r="1039" spans="4:6" ht="15" x14ac:dyDescent="0.25">
      <c r="D1039"/>
      <c r="E1039"/>
      <c r="F1039"/>
    </row>
    <row r="1040" spans="4:6" ht="15" x14ac:dyDescent="0.25">
      <c r="D1040"/>
      <c r="E1040"/>
      <c r="F1040"/>
    </row>
    <row r="1041" spans="4:6" ht="15" x14ac:dyDescent="0.25">
      <c r="D1041"/>
      <c r="E1041"/>
      <c r="F1041"/>
    </row>
    <row r="1042" spans="4:6" ht="15" x14ac:dyDescent="0.25">
      <c r="D1042"/>
      <c r="E1042"/>
      <c r="F1042"/>
    </row>
    <row r="1043" spans="4:6" ht="15" x14ac:dyDescent="0.25">
      <c r="D1043"/>
      <c r="E1043"/>
      <c r="F1043"/>
    </row>
    <row r="1044" spans="4:6" ht="15" x14ac:dyDescent="0.25">
      <c r="D1044"/>
      <c r="E1044"/>
      <c r="F1044"/>
    </row>
    <row r="1045" spans="4:6" ht="15" x14ac:dyDescent="0.25">
      <c r="D1045"/>
      <c r="E1045"/>
      <c r="F1045"/>
    </row>
    <row r="1046" spans="4:6" ht="15" x14ac:dyDescent="0.25">
      <c r="D1046"/>
      <c r="E1046"/>
      <c r="F1046"/>
    </row>
    <row r="1047" spans="4:6" ht="15" x14ac:dyDescent="0.25">
      <c r="D1047"/>
      <c r="E1047"/>
      <c r="F1047"/>
    </row>
    <row r="1048" spans="4:6" ht="15" x14ac:dyDescent="0.25">
      <c r="D1048"/>
      <c r="E1048"/>
      <c r="F1048"/>
    </row>
    <row r="1049" spans="4:6" ht="15" x14ac:dyDescent="0.25">
      <c r="D1049"/>
      <c r="E1049"/>
      <c r="F1049"/>
    </row>
    <row r="1050" spans="4:6" ht="15" x14ac:dyDescent="0.25">
      <c r="D1050"/>
      <c r="E1050"/>
      <c r="F1050"/>
    </row>
    <row r="1051" spans="4:6" ht="15" x14ac:dyDescent="0.25">
      <c r="D1051"/>
      <c r="E1051"/>
      <c r="F1051"/>
    </row>
    <row r="1052" spans="4:6" ht="15" x14ac:dyDescent="0.25">
      <c r="D1052"/>
      <c r="E1052"/>
      <c r="F1052"/>
    </row>
    <row r="1053" spans="4:6" ht="15" x14ac:dyDescent="0.25">
      <c r="D1053"/>
      <c r="E1053"/>
      <c r="F1053"/>
    </row>
    <row r="1054" spans="4:6" ht="15" x14ac:dyDescent="0.25">
      <c r="D1054"/>
      <c r="E1054"/>
      <c r="F1054"/>
    </row>
    <row r="1055" spans="4:6" ht="15" x14ac:dyDescent="0.25">
      <c r="D1055"/>
      <c r="E1055"/>
      <c r="F1055"/>
    </row>
    <row r="1056" spans="4:6" ht="15" x14ac:dyDescent="0.25">
      <c r="D1056"/>
      <c r="E1056"/>
      <c r="F1056"/>
    </row>
    <row r="1057" spans="4:6" ht="15" x14ac:dyDescent="0.25">
      <c r="D1057"/>
      <c r="E1057"/>
      <c r="F1057"/>
    </row>
    <row r="1058" spans="4:6" ht="15" x14ac:dyDescent="0.25">
      <c r="D1058"/>
      <c r="E1058"/>
      <c r="F1058"/>
    </row>
    <row r="1059" spans="4:6" ht="15" x14ac:dyDescent="0.25">
      <c r="D1059"/>
      <c r="E1059"/>
      <c r="F1059"/>
    </row>
    <row r="1060" spans="4:6" ht="15" x14ac:dyDescent="0.25">
      <c r="D1060"/>
      <c r="E1060"/>
      <c r="F1060"/>
    </row>
    <row r="1061" spans="4:6" ht="15" x14ac:dyDescent="0.25">
      <c r="D1061"/>
    </row>
    <row r="1062" spans="4:6" ht="15" x14ac:dyDescent="0.25">
      <c r="D1062"/>
    </row>
    <row r="1063" spans="4:6" ht="15" x14ac:dyDescent="0.25">
      <c r="D1063"/>
    </row>
    <row r="1064" spans="4:6" ht="15" x14ac:dyDescent="0.25">
      <c r="D1064"/>
    </row>
    <row r="1065" spans="4:6" ht="15" x14ac:dyDescent="0.25">
      <c r="D1065"/>
    </row>
    <row r="1066" spans="4:6" ht="15" x14ac:dyDescent="0.25">
      <c r="D1066"/>
    </row>
    <row r="1067" spans="4:6" ht="15" x14ac:dyDescent="0.25">
      <c r="D1067"/>
    </row>
    <row r="1068" spans="4:6" ht="15" x14ac:dyDescent="0.25">
      <c r="D1068"/>
    </row>
    <row r="1069" spans="4:6" ht="15" x14ac:dyDescent="0.25">
      <c r="D1069"/>
    </row>
    <row r="1070" spans="4:6" ht="15" x14ac:dyDescent="0.25">
      <c r="D1070"/>
    </row>
    <row r="1071" spans="4:6" ht="15" x14ac:dyDescent="0.25">
      <c r="D1071"/>
    </row>
    <row r="1072" spans="4:6" ht="15" x14ac:dyDescent="0.25">
      <c r="D1072"/>
    </row>
    <row r="1073" spans="4:4" ht="15" x14ac:dyDescent="0.25">
      <c r="D1073"/>
    </row>
    <row r="1074" spans="4:4" ht="15" x14ac:dyDescent="0.25">
      <c r="D1074"/>
    </row>
    <row r="1075" spans="4:4" ht="15" x14ac:dyDescent="0.25">
      <c r="D1075"/>
    </row>
    <row r="1076" spans="4:4" ht="15" x14ac:dyDescent="0.25">
      <c r="D1076"/>
    </row>
    <row r="1077" spans="4:4" ht="15" x14ac:dyDescent="0.25">
      <c r="D1077"/>
    </row>
    <row r="1078" spans="4:4" ht="15" x14ac:dyDescent="0.25">
      <c r="D1078"/>
    </row>
    <row r="1079" spans="4:4" ht="15" x14ac:dyDescent="0.25">
      <c r="D1079"/>
    </row>
    <row r="1080" spans="4:4" ht="15" x14ac:dyDescent="0.25">
      <c r="D1080"/>
    </row>
    <row r="1081" spans="4:4" ht="15" x14ac:dyDescent="0.25">
      <c r="D1081"/>
    </row>
    <row r="1082" spans="4:4" ht="15" x14ac:dyDescent="0.25">
      <c r="D1082"/>
    </row>
  </sheetData>
  <mergeCells count="15">
    <mergeCell ref="M885:S885"/>
    <mergeCell ref="M886:S886"/>
    <mergeCell ref="M892:S892"/>
    <mergeCell ref="M893:S893"/>
    <mergeCell ref="N880:S880"/>
    <mergeCell ref="N865:S865"/>
    <mergeCell ref="N877:S877"/>
    <mergeCell ref="N873:S873"/>
    <mergeCell ref="M879:S879"/>
    <mergeCell ref="M872:S872"/>
    <mergeCell ref="E871:G871"/>
    <mergeCell ref="E872:G872"/>
    <mergeCell ref="E879:G879"/>
    <mergeCell ref="E886:G886"/>
    <mergeCell ref="E893:G893"/>
  </mergeCells>
  <conditionalFormatting sqref="L3">
    <cfRule type="duplicateValues" dxfId="3" priority="2"/>
  </conditionalFormatting>
  <conditionalFormatting sqref="L2">
    <cfRule type="duplicateValues" dxfId="2" priority="1"/>
  </conditionalFormatting>
  <pageMargins left="0.7" right="0.7" top="0.75" bottom="0.75" header="0.3" footer="0.3"/>
  <pageSetup paperSize="9" scale="40" fitToHeight="0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9AB5B-93E8-441F-ACF0-F90AF7D0A009}">
  <dimension ref="A3:B15"/>
  <sheetViews>
    <sheetView workbookViewId="0">
      <selection activeCell="A3" sqref="A3:B15"/>
    </sheetView>
  </sheetViews>
  <sheetFormatPr defaultRowHeight="15" x14ac:dyDescent="0.25"/>
  <cols>
    <col min="1" max="1" width="25.140625" bestFit="1" customWidth="1"/>
    <col min="2" max="2" width="14.7109375" bestFit="1" customWidth="1"/>
  </cols>
  <sheetData>
    <row r="3" spans="1:2" x14ac:dyDescent="0.25">
      <c r="A3" s="27" t="s">
        <v>427</v>
      </c>
      <c r="B3" t="s">
        <v>392</v>
      </c>
    </row>
    <row r="4" spans="1:2" x14ac:dyDescent="0.25">
      <c r="A4" s="35" t="s">
        <v>600</v>
      </c>
      <c r="B4" s="234">
        <v>11100.75</v>
      </c>
    </row>
    <row r="5" spans="1:2" x14ac:dyDescent="0.25">
      <c r="A5" s="233" t="s">
        <v>19</v>
      </c>
      <c r="B5" s="234">
        <v>2510.8000000000002</v>
      </c>
    </row>
    <row r="6" spans="1:2" x14ac:dyDescent="0.25">
      <c r="A6" s="233" t="s">
        <v>383</v>
      </c>
      <c r="B6" s="234">
        <v>1668.7700000000002</v>
      </c>
    </row>
    <row r="7" spans="1:2" x14ac:dyDescent="0.25">
      <c r="A7" s="233" t="s">
        <v>74</v>
      </c>
      <c r="B7" s="234">
        <v>6423.1799999999994</v>
      </c>
    </row>
    <row r="8" spans="1:2" x14ac:dyDescent="0.25">
      <c r="A8" s="233" t="s">
        <v>52</v>
      </c>
      <c r="B8" s="234">
        <v>498</v>
      </c>
    </row>
    <row r="9" spans="1:2" x14ac:dyDescent="0.25">
      <c r="A9" s="35" t="s">
        <v>633</v>
      </c>
      <c r="B9" s="234">
        <v>820</v>
      </c>
    </row>
    <row r="10" spans="1:2" x14ac:dyDescent="0.25">
      <c r="A10" s="233" t="s">
        <v>634</v>
      </c>
      <c r="B10" s="234">
        <v>820</v>
      </c>
    </row>
    <row r="11" spans="1:2" x14ac:dyDescent="0.25">
      <c r="A11" s="35" t="s">
        <v>593</v>
      </c>
      <c r="B11" s="234">
        <v>4769.3999999999996</v>
      </c>
    </row>
    <row r="12" spans="1:2" x14ac:dyDescent="0.25">
      <c r="A12" s="233" t="s">
        <v>557</v>
      </c>
      <c r="B12" s="234">
        <v>4769.3999999999996</v>
      </c>
    </row>
    <row r="13" spans="1:2" x14ac:dyDescent="0.25">
      <c r="A13" s="35" t="s">
        <v>696</v>
      </c>
      <c r="B13" s="234">
        <v>16284.300000000001</v>
      </c>
    </row>
    <row r="14" spans="1:2" x14ac:dyDescent="0.25">
      <c r="A14" s="233" t="s">
        <v>647</v>
      </c>
      <c r="B14" s="234">
        <v>16284.300000000001</v>
      </c>
    </row>
    <row r="15" spans="1:2" x14ac:dyDescent="0.25">
      <c r="A15" s="35" t="s">
        <v>391</v>
      </c>
      <c r="B15" s="234">
        <v>32974.450000000004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79622-310A-4E18-B8F0-ECE1219F2BA1}">
  <sheetPr codeName="Sheet2">
    <pageSetUpPr fitToPage="1"/>
  </sheetPr>
  <dimension ref="A1:U288"/>
  <sheetViews>
    <sheetView showGridLines="0" tabSelected="1" topLeftCell="C1" zoomScaleNormal="100" workbookViewId="0">
      <pane ySplit="4" topLeftCell="A109" activePane="bottomLeft" state="frozen"/>
      <selection pane="bottomLeft" activeCell="G113" sqref="G113"/>
    </sheetView>
  </sheetViews>
  <sheetFormatPr defaultRowHeight="11.25" x14ac:dyDescent="0.2"/>
  <cols>
    <col min="1" max="1" width="7.140625" style="29" hidden="1" customWidth="1"/>
    <col min="2" max="2" width="9" style="2" hidden="1" customWidth="1"/>
    <col min="3" max="3" width="11" style="55" bestFit="1" customWidth="1"/>
    <col min="4" max="4" width="32.28515625" style="1" bestFit="1" customWidth="1"/>
    <col min="5" max="5" width="54.85546875" style="1" bestFit="1" customWidth="1"/>
    <col min="6" max="6" width="33" style="1" bestFit="1" customWidth="1"/>
    <col min="7" max="7" width="40.7109375" style="1" bestFit="1" customWidth="1"/>
    <col min="8" max="8" width="20.28515625" style="31" bestFit="1" customWidth="1"/>
    <col min="9" max="9" width="52.85546875" style="1" bestFit="1" customWidth="1"/>
    <col min="10" max="10" width="236" style="1" bestFit="1" customWidth="1"/>
    <col min="11" max="11" width="10.42578125" style="31" hidden="1" customWidth="1"/>
    <col min="12" max="12" width="32.28515625" style="34" bestFit="1" customWidth="1"/>
    <col min="13" max="13" width="19.85546875" style="31" bestFit="1" customWidth="1"/>
    <col min="14" max="14" width="28" style="31" bestFit="1" customWidth="1"/>
    <col min="15" max="15" width="7.85546875" style="1" hidden="1" customWidth="1"/>
    <col min="16" max="16" width="13.140625" style="31" bestFit="1" customWidth="1"/>
    <col min="17" max="17" width="14.7109375" style="31" bestFit="1" customWidth="1"/>
    <col min="18" max="18" width="20.85546875" style="1" bestFit="1" customWidth="1"/>
    <col min="19" max="19" width="25.28515625" style="3" bestFit="1" customWidth="1"/>
    <col min="20" max="16384" width="9.140625" style="1"/>
  </cols>
  <sheetData>
    <row r="1" spans="1:19" ht="11.25" customHeight="1" x14ac:dyDescent="0.2">
      <c r="E1" s="47"/>
      <c r="F1" s="47"/>
    </row>
    <row r="2" spans="1:19" x14ac:dyDescent="0.2">
      <c r="E2" s="47"/>
      <c r="F2" s="47"/>
      <c r="K2" s="87"/>
      <c r="L2" s="88"/>
    </row>
    <row r="3" spans="1:19" ht="31.5" customHeight="1" x14ac:dyDescent="0.2">
      <c r="E3" s="47"/>
      <c r="F3" s="47"/>
      <c r="K3" s="87"/>
      <c r="L3" s="88"/>
    </row>
    <row r="4" spans="1:19" s="241" customFormat="1" ht="50.1" customHeight="1" x14ac:dyDescent="0.25">
      <c r="A4" s="239" t="s">
        <v>0</v>
      </c>
      <c r="B4" s="240" t="s">
        <v>1</v>
      </c>
      <c r="C4" s="258" t="s">
        <v>2</v>
      </c>
      <c r="D4" s="259" t="s">
        <v>3</v>
      </c>
      <c r="E4" s="259" t="s">
        <v>4</v>
      </c>
      <c r="F4" s="259" t="s">
        <v>643</v>
      </c>
      <c r="G4" s="259" t="s">
        <v>5</v>
      </c>
      <c r="H4" s="260" t="s">
        <v>6</v>
      </c>
      <c r="I4" s="260" t="s">
        <v>7</v>
      </c>
      <c r="J4" s="259" t="s">
        <v>8</v>
      </c>
      <c r="K4" s="259" t="s">
        <v>9</v>
      </c>
      <c r="L4" s="259" t="s">
        <v>10</v>
      </c>
      <c r="M4" s="259" t="s">
        <v>11</v>
      </c>
      <c r="N4" s="259" t="s">
        <v>12</v>
      </c>
      <c r="O4" s="259" t="s">
        <v>13</v>
      </c>
      <c r="P4" s="259" t="s">
        <v>14</v>
      </c>
      <c r="Q4" s="259" t="s">
        <v>15</v>
      </c>
      <c r="R4" s="259" t="s">
        <v>16</v>
      </c>
      <c r="S4" s="261" t="s">
        <v>17</v>
      </c>
    </row>
    <row r="5" spans="1:19" s="222" customFormat="1" ht="50.1" customHeight="1" x14ac:dyDescent="0.4">
      <c r="A5" s="236"/>
      <c r="B5" s="237"/>
      <c r="C5" s="262">
        <v>45726</v>
      </c>
      <c r="D5" s="263" t="s">
        <v>285</v>
      </c>
      <c r="E5" s="263" t="s">
        <v>52</v>
      </c>
      <c r="F5" s="264" t="s">
        <v>600</v>
      </c>
      <c r="G5" s="263" t="s">
        <v>287</v>
      </c>
      <c r="H5" s="245" t="s">
        <v>288</v>
      </c>
      <c r="I5" s="263" t="s">
        <v>289</v>
      </c>
      <c r="J5" s="263" t="s">
        <v>453</v>
      </c>
      <c r="K5" s="265"/>
      <c r="L5" s="263" t="s">
        <v>576</v>
      </c>
      <c r="M5" s="245">
        <v>7901</v>
      </c>
      <c r="N5" s="245">
        <v>371011</v>
      </c>
      <c r="O5" s="266"/>
      <c r="P5" s="245">
        <v>1</v>
      </c>
      <c r="Q5" s="267" t="s">
        <v>26</v>
      </c>
      <c r="R5" s="268">
        <v>278</v>
      </c>
      <c r="S5" s="269">
        <f>Table42[[#This Row],[VALUE]]*Table42[[#This Row],[QTD]]</f>
        <v>278</v>
      </c>
    </row>
    <row r="6" spans="1:19" s="222" customFormat="1" ht="50.1" customHeight="1" x14ac:dyDescent="0.4">
      <c r="A6" s="236"/>
      <c r="B6" s="237"/>
      <c r="C6" s="262">
        <v>45726</v>
      </c>
      <c r="D6" s="263" t="s">
        <v>285</v>
      </c>
      <c r="E6" s="263" t="s">
        <v>52</v>
      </c>
      <c r="F6" s="264" t="s">
        <v>600</v>
      </c>
      <c r="G6" s="263" t="s">
        <v>287</v>
      </c>
      <c r="H6" s="245" t="s">
        <v>288</v>
      </c>
      <c r="I6" s="263" t="s">
        <v>289</v>
      </c>
      <c r="J6" s="263" t="s">
        <v>650</v>
      </c>
      <c r="K6" s="265"/>
      <c r="L6" s="263" t="s">
        <v>576</v>
      </c>
      <c r="M6" s="245">
        <v>7901</v>
      </c>
      <c r="N6" s="245">
        <v>371011</v>
      </c>
      <c r="O6" s="266"/>
      <c r="P6" s="245">
        <v>40</v>
      </c>
      <c r="Q6" s="267" t="s">
        <v>26</v>
      </c>
      <c r="R6" s="268">
        <v>5.5</v>
      </c>
      <c r="S6" s="269">
        <f>Table42[[#This Row],[VALUE]]*Table42[[#This Row],[QTD]]</f>
        <v>220</v>
      </c>
    </row>
    <row r="7" spans="1:19" s="222" customFormat="1" ht="50.1" customHeight="1" x14ac:dyDescent="0.4">
      <c r="A7" s="236"/>
      <c r="B7" s="237"/>
      <c r="C7" s="262">
        <v>45726</v>
      </c>
      <c r="D7" s="263" t="s">
        <v>285</v>
      </c>
      <c r="E7" s="263" t="s">
        <v>557</v>
      </c>
      <c r="F7" s="264" t="s">
        <v>593</v>
      </c>
      <c r="G7" s="263" t="s">
        <v>287</v>
      </c>
      <c r="H7" s="245" t="s">
        <v>288</v>
      </c>
      <c r="I7" s="263" t="s">
        <v>289</v>
      </c>
      <c r="J7" s="263" t="s">
        <v>586</v>
      </c>
      <c r="K7" s="265"/>
      <c r="L7" s="263" t="s">
        <v>576</v>
      </c>
      <c r="M7" s="245">
        <v>7901</v>
      </c>
      <c r="N7" s="245">
        <v>371011</v>
      </c>
      <c r="O7" s="266"/>
      <c r="P7" s="245">
        <v>15</v>
      </c>
      <c r="Q7" s="267" t="s">
        <v>26</v>
      </c>
      <c r="R7" s="268">
        <v>45</v>
      </c>
      <c r="S7" s="269">
        <f>Table42[[#This Row],[VALUE]]*Table42[[#This Row],[QTD]]</f>
        <v>675</v>
      </c>
    </row>
    <row r="8" spans="1:19" s="222" customFormat="1" ht="50.1" customHeight="1" x14ac:dyDescent="0.4">
      <c r="A8" s="238"/>
      <c r="B8" s="237"/>
      <c r="C8" s="262">
        <v>45726</v>
      </c>
      <c r="D8" s="263" t="s">
        <v>285</v>
      </c>
      <c r="E8" s="263" t="s">
        <v>557</v>
      </c>
      <c r="F8" s="264" t="s">
        <v>593</v>
      </c>
      <c r="G8" s="263" t="s">
        <v>287</v>
      </c>
      <c r="H8" s="245" t="s">
        <v>288</v>
      </c>
      <c r="I8" s="263" t="s">
        <v>289</v>
      </c>
      <c r="J8" s="263" t="s">
        <v>447</v>
      </c>
      <c r="K8" s="265"/>
      <c r="L8" s="263" t="s">
        <v>576</v>
      </c>
      <c r="M8" s="245">
        <v>7901</v>
      </c>
      <c r="N8" s="245">
        <v>371011</v>
      </c>
      <c r="O8" s="266"/>
      <c r="P8" s="245">
        <v>1</v>
      </c>
      <c r="Q8" s="267" t="s">
        <v>26</v>
      </c>
      <c r="R8" s="268">
        <v>420</v>
      </c>
      <c r="S8" s="269">
        <f>Table42[[#This Row],[VALUE]]*Table42[[#This Row],[QTD]]</f>
        <v>420</v>
      </c>
    </row>
    <row r="9" spans="1:19" s="222" customFormat="1" ht="50.1" customHeight="1" x14ac:dyDescent="0.4">
      <c r="A9" s="238"/>
      <c r="B9" s="237"/>
      <c r="C9" s="262">
        <v>45726</v>
      </c>
      <c r="D9" s="263" t="s">
        <v>285</v>
      </c>
      <c r="E9" s="263" t="s">
        <v>557</v>
      </c>
      <c r="F9" s="264" t="s">
        <v>593</v>
      </c>
      <c r="G9" s="263" t="s">
        <v>287</v>
      </c>
      <c r="H9" s="245" t="s">
        <v>288</v>
      </c>
      <c r="I9" s="263" t="s">
        <v>289</v>
      </c>
      <c r="J9" s="263" t="s">
        <v>588</v>
      </c>
      <c r="K9" s="265"/>
      <c r="L9" s="263" t="s">
        <v>576</v>
      </c>
      <c r="M9" s="245">
        <v>7901</v>
      </c>
      <c r="N9" s="245">
        <v>371011</v>
      </c>
      <c r="O9" s="266"/>
      <c r="P9" s="245">
        <v>16</v>
      </c>
      <c r="Q9" s="267" t="s">
        <v>26</v>
      </c>
      <c r="R9" s="268">
        <v>32.4</v>
      </c>
      <c r="S9" s="269">
        <f>Table42[[#This Row],[VALUE]]*Table42[[#This Row],[QTD]]</f>
        <v>518.4</v>
      </c>
    </row>
    <row r="10" spans="1:19" s="222" customFormat="1" ht="50.1" customHeight="1" x14ac:dyDescent="0.4">
      <c r="A10" s="238"/>
      <c r="B10" s="237"/>
      <c r="C10" s="262">
        <v>45726</v>
      </c>
      <c r="D10" s="263" t="s">
        <v>285</v>
      </c>
      <c r="E10" s="263" t="s">
        <v>557</v>
      </c>
      <c r="F10" s="264" t="s">
        <v>593</v>
      </c>
      <c r="G10" s="263" t="s">
        <v>287</v>
      </c>
      <c r="H10" s="245" t="s">
        <v>288</v>
      </c>
      <c r="I10" s="263" t="s">
        <v>289</v>
      </c>
      <c r="J10" s="263" t="s">
        <v>651</v>
      </c>
      <c r="K10" s="265"/>
      <c r="L10" s="263" t="s">
        <v>576</v>
      </c>
      <c r="M10" s="245">
        <v>7901</v>
      </c>
      <c r="N10" s="245">
        <v>371011</v>
      </c>
      <c r="O10" s="266"/>
      <c r="P10" s="245">
        <v>16</v>
      </c>
      <c r="Q10" s="267" t="s">
        <v>26</v>
      </c>
      <c r="R10" s="268">
        <v>142</v>
      </c>
      <c r="S10" s="269">
        <f>Table42[[#This Row],[VALUE]]*Table42[[#This Row],[QTD]]</f>
        <v>2272</v>
      </c>
    </row>
    <row r="11" spans="1:19" s="222" customFormat="1" ht="50.1" customHeight="1" x14ac:dyDescent="0.4">
      <c r="A11" s="238"/>
      <c r="B11" s="237"/>
      <c r="C11" s="262">
        <v>45726</v>
      </c>
      <c r="D11" s="263" t="s">
        <v>285</v>
      </c>
      <c r="E11" s="263" t="s">
        <v>557</v>
      </c>
      <c r="F11" s="264" t="s">
        <v>593</v>
      </c>
      <c r="G11" s="263" t="s">
        <v>287</v>
      </c>
      <c r="H11" s="245" t="s">
        <v>288</v>
      </c>
      <c r="I11" s="263" t="s">
        <v>289</v>
      </c>
      <c r="J11" s="263" t="s">
        <v>652</v>
      </c>
      <c r="K11" s="265"/>
      <c r="L11" s="263" t="s">
        <v>576</v>
      </c>
      <c r="M11" s="245">
        <v>7901</v>
      </c>
      <c r="N11" s="245">
        <v>371011</v>
      </c>
      <c r="O11" s="266"/>
      <c r="P11" s="245">
        <v>10</v>
      </c>
      <c r="Q11" s="267" t="s">
        <v>26</v>
      </c>
      <c r="R11" s="268">
        <v>51</v>
      </c>
      <c r="S11" s="269">
        <f>Table42[[#This Row],[VALUE]]*Table42[[#This Row],[QTD]]</f>
        <v>510</v>
      </c>
    </row>
    <row r="12" spans="1:19" s="222" customFormat="1" ht="50.1" customHeight="1" x14ac:dyDescent="0.4">
      <c r="A12" s="238"/>
      <c r="B12" s="237"/>
      <c r="C12" s="262">
        <v>45726</v>
      </c>
      <c r="D12" s="263" t="s">
        <v>285</v>
      </c>
      <c r="E12" s="263" t="s">
        <v>557</v>
      </c>
      <c r="F12" s="264" t="s">
        <v>593</v>
      </c>
      <c r="G12" s="263" t="s">
        <v>287</v>
      </c>
      <c r="H12" s="245" t="s">
        <v>288</v>
      </c>
      <c r="I12" s="263" t="s">
        <v>289</v>
      </c>
      <c r="J12" s="263" t="s">
        <v>653</v>
      </c>
      <c r="K12" s="265"/>
      <c r="L12" s="263" t="s">
        <v>576</v>
      </c>
      <c r="M12" s="245">
        <v>7901</v>
      </c>
      <c r="N12" s="245">
        <v>371011</v>
      </c>
      <c r="O12" s="266"/>
      <c r="P12" s="245">
        <v>5</v>
      </c>
      <c r="Q12" s="267" t="s">
        <v>26</v>
      </c>
      <c r="R12" s="268">
        <v>74.8</v>
      </c>
      <c r="S12" s="269">
        <f>Table42[[#This Row],[VALUE]]*Table42[[#This Row],[QTD]]</f>
        <v>374</v>
      </c>
    </row>
    <row r="13" spans="1:19" s="222" customFormat="1" ht="50.1" customHeight="1" x14ac:dyDescent="0.4">
      <c r="A13" s="238"/>
      <c r="B13" s="237"/>
      <c r="C13" s="262">
        <v>45740</v>
      </c>
      <c r="D13" s="263" t="s">
        <v>285</v>
      </c>
      <c r="E13" s="263" t="s">
        <v>74</v>
      </c>
      <c r="F13" s="264" t="s">
        <v>600</v>
      </c>
      <c r="G13" s="263" t="s">
        <v>287</v>
      </c>
      <c r="H13" s="245" t="s">
        <v>288</v>
      </c>
      <c r="I13" s="263" t="s">
        <v>289</v>
      </c>
      <c r="J13" s="270" t="s">
        <v>654</v>
      </c>
      <c r="K13" s="265"/>
      <c r="L13" s="263" t="s">
        <v>576</v>
      </c>
      <c r="M13" s="245">
        <v>7901</v>
      </c>
      <c r="N13" s="245">
        <v>371011</v>
      </c>
      <c r="O13" s="266"/>
      <c r="P13" s="245">
        <v>2</v>
      </c>
      <c r="Q13" s="267" t="s">
        <v>26</v>
      </c>
      <c r="R13" s="268">
        <v>278</v>
      </c>
      <c r="S13" s="269">
        <f>Table42[[#This Row],[VALUE]]*Table42[[#This Row],[QTD]]</f>
        <v>556</v>
      </c>
    </row>
    <row r="14" spans="1:19" s="222" customFormat="1" ht="50.1" customHeight="1" x14ac:dyDescent="0.4">
      <c r="A14" s="238"/>
      <c r="B14" s="237"/>
      <c r="C14" s="262">
        <v>45740</v>
      </c>
      <c r="D14" s="263" t="s">
        <v>285</v>
      </c>
      <c r="E14" s="263" t="s">
        <v>74</v>
      </c>
      <c r="F14" s="264" t="s">
        <v>600</v>
      </c>
      <c r="G14" s="263" t="s">
        <v>287</v>
      </c>
      <c r="H14" s="245" t="s">
        <v>288</v>
      </c>
      <c r="I14" s="263" t="s">
        <v>289</v>
      </c>
      <c r="J14" s="270" t="s">
        <v>655</v>
      </c>
      <c r="K14" s="265"/>
      <c r="L14" s="263" t="s">
        <v>576</v>
      </c>
      <c r="M14" s="245">
        <v>7901</v>
      </c>
      <c r="N14" s="245">
        <v>371011</v>
      </c>
      <c r="O14" s="266"/>
      <c r="P14" s="245">
        <v>1</v>
      </c>
      <c r="Q14" s="267" t="s">
        <v>26</v>
      </c>
      <c r="R14" s="268">
        <v>172</v>
      </c>
      <c r="S14" s="269">
        <f>Table42[[#This Row],[VALUE]]*Table42[[#This Row],[QTD]]</f>
        <v>172</v>
      </c>
    </row>
    <row r="15" spans="1:19" s="222" customFormat="1" ht="50.1" customHeight="1" x14ac:dyDescent="0.4">
      <c r="A15" s="238"/>
      <c r="B15" s="237"/>
      <c r="C15" s="262">
        <v>45740</v>
      </c>
      <c r="D15" s="263" t="s">
        <v>285</v>
      </c>
      <c r="E15" s="263" t="s">
        <v>74</v>
      </c>
      <c r="F15" s="264" t="s">
        <v>600</v>
      </c>
      <c r="G15" s="263" t="s">
        <v>287</v>
      </c>
      <c r="H15" s="245" t="s">
        <v>288</v>
      </c>
      <c r="I15" s="263" t="s">
        <v>289</v>
      </c>
      <c r="J15" s="270" t="s">
        <v>656</v>
      </c>
      <c r="K15" s="265"/>
      <c r="L15" s="263" t="s">
        <v>576</v>
      </c>
      <c r="M15" s="245">
        <v>7901</v>
      </c>
      <c r="N15" s="245">
        <v>371011</v>
      </c>
      <c r="O15" s="266"/>
      <c r="P15" s="245">
        <v>2</v>
      </c>
      <c r="Q15" s="267" t="s">
        <v>26</v>
      </c>
      <c r="R15" s="268">
        <v>28</v>
      </c>
      <c r="S15" s="269">
        <f>Table42[[#This Row],[VALUE]]*Table42[[#This Row],[QTD]]</f>
        <v>56</v>
      </c>
    </row>
    <row r="16" spans="1:19" s="222" customFormat="1" ht="50.1" customHeight="1" x14ac:dyDescent="0.4">
      <c r="A16" s="238"/>
      <c r="B16" s="237"/>
      <c r="C16" s="262">
        <v>45735</v>
      </c>
      <c r="D16" s="263" t="s">
        <v>285</v>
      </c>
      <c r="E16" s="263" t="s">
        <v>19</v>
      </c>
      <c r="F16" s="264" t="s">
        <v>600</v>
      </c>
      <c r="G16" s="263" t="s">
        <v>287</v>
      </c>
      <c r="H16" s="245" t="s">
        <v>288</v>
      </c>
      <c r="I16" s="263" t="s">
        <v>289</v>
      </c>
      <c r="J16" s="270" t="s">
        <v>657</v>
      </c>
      <c r="K16" s="265"/>
      <c r="L16" s="263" t="s">
        <v>576</v>
      </c>
      <c r="M16" s="245">
        <v>7901</v>
      </c>
      <c r="N16" s="245">
        <v>371011</v>
      </c>
      <c r="O16" s="266"/>
      <c r="P16" s="245">
        <v>24</v>
      </c>
      <c r="Q16" s="267" t="s">
        <v>26</v>
      </c>
      <c r="R16" s="268">
        <v>2.5</v>
      </c>
      <c r="S16" s="269">
        <f>Table42[[#This Row],[VALUE]]*Table42[[#This Row],[QTD]]</f>
        <v>60</v>
      </c>
    </row>
    <row r="17" spans="1:19" s="222" customFormat="1" ht="50.1" customHeight="1" x14ac:dyDescent="0.4">
      <c r="A17" s="238"/>
      <c r="B17" s="237"/>
      <c r="C17" s="262">
        <v>45735</v>
      </c>
      <c r="D17" s="263" t="s">
        <v>285</v>
      </c>
      <c r="E17" s="263" t="s">
        <v>19</v>
      </c>
      <c r="F17" s="264" t="s">
        <v>600</v>
      </c>
      <c r="G17" s="263" t="s">
        <v>287</v>
      </c>
      <c r="H17" s="245" t="s">
        <v>288</v>
      </c>
      <c r="I17" s="263" t="s">
        <v>289</v>
      </c>
      <c r="J17" s="270" t="s">
        <v>657</v>
      </c>
      <c r="K17" s="265"/>
      <c r="L17" s="263" t="s">
        <v>576</v>
      </c>
      <c r="M17" s="245">
        <v>7901</v>
      </c>
      <c r="N17" s="245">
        <v>371011</v>
      </c>
      <c r="O17" s="266"/>
      <c r="P17" s="245">
        <v>30</v>
      </c>
      <c r="Q17" s="267" t="s">
        <v>26</v>
      </c>
      <c r="R17" s="268">
        <v>12</v>
      </c>
      <c r="S17" s="269">
        <f>Table42[[#This Row],[VALUE]]*Table42[[#This Row],[QTD]]</f>
        <v>360</v>
      </c>
    </row>
    <row r="18" spans="1:19" s="222" customFormat="1" ht="50.1" customHeight="1" x14ac:dyDescent="0.4">
      <c r="A18" s="238"/>
      <c r="B18" s="237"/>
      <c r="C18" s="262">
        <v>45735</v>
      </c>
      <c r="D18" s="263" t="s">
        <v>285</v>
      </c>
      <c r="E18" s="263" t="s">
        <v>19</v>
      </c>
      <c r="F18" s="264" t="s">
        <v>600</v>
      </c>
      <c r="G18" s="263" t="s">
        <v>287</v>
      </c>
      <c r="H18" s="245" t="s">
        <v>288</v>
      </c>
      <c r="I18" s="263" t="s">
        <v>289</v>
      </c>
      <c r="J18" s="270" t="s">
        <v>657</v>
      </c>
      <c r="K18" s="265"/>
      <c r="L18" s="263" t="s">
        <v>576</v>
      </c>
      <c r="M18" s="245">
        <v>7901</v>
      </c>
      <c r="N18" s="245">
        <v>371011</v>
      </c>
      <c r="O18" s="266"/>
      <c r="P18" s="245">
        <v>12</v>
      </c>
      <c r="Q18" s="267" t="s">
        <v>26</v>
      </c>
      <c r="R18" s="268">
        <v>4.9000000000000004</v>
      </c>
      <c r="S18" s="269">
        <f>Table42[[#This Row],[VALUE]]*Table42[[#This Row],[QTD]]</f>
        <v>58.800000000000004</v>
      </c>
    </row>
    <row r="19" spans="1:19" s="222" customFormat="1" ht="50.1" customHeight="1" x14ac:dyDescent="0.4">
      <c r="A19" s="238"/>
      <c r="B19" s="237"/>
      <c r="C19" s="262">
        <v>45735</v>
      </c>
      <c r="D19" s="263" t="s">
        <v>285</v>
      </c>
      <c r="E19" s="263" t="s">
        <v>19</v>
      </c>
      <c r="F19" s="264" t="s">
        <v>600</v>
      </c>
      <c r="G19" s="263" t="s">
        <v>287</v>
      </c>
      <c r="H19" s="245" t="s">
        <v>288</v>
      </c>
      <c r="I19" s="263" t="s">
        <v>289</v>
      </c>
      <c r="J19" s="270" t="s">
        <v>658</v>
      </c>
      <c r="K19" s="265"/>
      <c r="L19" s="263" t="s">
        <v>576</v>
      </c>
      <c r="M19" s="245">
        <v>7901</v>
      </c>
      <c r="N19" s="245">
        <v>371011</v>
      </c>
      <c r="O19" s="266"/>
      <c r="P19" s="245">
        <v>16</v>
      </c>
      <c r="Q19" s="267" t="s">
        <v>26</v>
      </c>
      <c r="R19" s="268">
        <v>127</v>
      </c>
      <c r="S19" s="269">
        <f>Table42[[#This Row],[VALUE]]*Table42[[#This Row],[QTD]]</f>
        <v>2032</v>
      </c>
    </row>
    <row r="20" spans="1:19" s="222" customFormat="1" ht="50.1" customHeight="1" x14ac:dyDescent="0.4">
      <c r="A20" s="238"/>
      <c r="B20" s="237"/>
      <c r="C20" s="262">
        <v>45737</v>
      </c>
      <c r="D20" s="263" t="s">
        <v>285</v>
      </c>
      <c r="E20" s="263" t="s">
        <v>74</v>
      </c>
      <c r="F20" s="264" t="s">
        <v>600</v>
      </c>
      <c r="G20" s="263" t="s">
        <v>287</v>
      </c>
      <c r="H20" s="245" t="s">
        <v>288</v>
      </c>
      <c r="I20" s="263" t="s">
        <v>289</v>
      </c>
      <c r="J20" s="270" t="s">
        <v>658</v>
      </c>
      <c r="K20" s="265"/>
      <c r="L20" s="263" t="s">
        <v>576</v>
      </c>
      <c r="M20" s="245">
        <v>7901</v>
      </c>
      <c r="N20" s="245">
        <v>371011</v>
      </c>
      <c r="O20" s="266"/>
      <c r="P20" s="245">
        <v>8</v>
      </c>
      <c r="Q20" s="267" t="s">
        <v>26</v>
      </c>
      <c r="R20" s="268">
        <v>127</v>
      </c>
      <c r="S20" s="269">
        <f>Table42[[#This Row],[VALUE]]*Table42[[#This Row],[QTD]]</f>
        <v>1016</v>
      </c>
    </row>
    <row r="21" spans="1:19" s="222" customFormat="1" ht="50.1" customHeight="1" x14ac:dyDescent="0.4">
      <c r="A21" s="238"/>
      <c r="B21" s="237"/>
      <c r="C21" s="262">
        <v>45737</v>
      </c>
      <c r="D21" s="263" t="s">
        <v>285</v>
      </c>
      <c r="E21" s="263" t="s">
        <v>74</v>
      </c>
      <c r="F21" s="264" t="s">
        <v>600</v>
      </c>
      <c r="G21" s="263" t="s">
        <v>287</v>
      </c>
      <c r="H21" s="245" t="s">
        <v>288</v>
      </c>
      <c r="I21" s="263" t="s">
        <v>289</v>
      </c>
      <c r="J21" s="270" t="s">
        <v>659</v>
      </c>
      <c r="K21" s="265"/>
      <c r="L21" s="263" t="s">
        <v>576</v>
      </c>
      <c r="M21" s="245">
        <v>7901</v>
      </c>
      <c r="N21" s="245">
        <v>371011</v>
      </c>
      <c r="O21" s="266"/>
      <c r="P21" s="245">
        <v>10</v>
      </c>
      <c r="Q21" s="267" t="s">
        <v>26</v>
      </c>
      <c r="R21" s="268">
        <v>18</v>
      </c>
      <c r="S21" s="269">
        <f>Table42[[#This Row],[VALUE]]*Table42[[#This Row],[QTD]]</f>
        <v>180</v>
      </c>
    </row>
    <row r="22" spans="1:19" s="222" customFormat="1" ht="50.1" customHeight="1" x14ac:dyDescent="0.4">
      <c r="A22" s="238"/>
      <c r="B22" s="237"/>
      <c r="C22" s="262">
        <v>45737</v>
      </c>
      <c r="D22" s="263" t="s">
        <v>285</v>
      </c>
      <c r="E22" s="263" t="s">
        <v>74</v>
      </c>
      <c r="F22" s="264" t="s">
        <v>600</v>
      </c>
      <c r="G22" s="263" t="s">
        <v>287</v>
      </c>
      <c r="H22" s="245" t="s">
        <v>288</v>
      </c>
      <c r="I22" s="263" t="s">
        <v>289</v>
      </c>
      <c r="J22" s="270" t="s">
        <v>660</v>
      </c>
      <c r="K22" s="265"/>
      <c r="L22" s="263" t="s">
        <v>576</v>
      </c>
      <c r="M22" s="245">
        <v>7901</v>
      </c>
      <c r="N22" s="245">
        <v>371011</v>
      </c>
      <c r="O22" s="266"/>
      <c r="P22" s="245">
        <v>3</v>
      </c>
      <c r="Q22" s="267" t="s">
        <v>26</v>
      </c>
      <c r="R22" s="268">
        <v>31.4</v>
      </c>
      <c r="S22" s="269">
        <f>Table42[[#This Row],[VALUE]]*Table42[[#This Row],[QTD]]</f>
        <v>94.199999999999989</v>
      </c>
    </row>
    <row r="23" spans="1:19" s="222" customFormat="1" ht="50.1" customHeight="1" x14ac:dyDescent="0.4">
      <c r="A23" s="238"/>
      <c r="B23" s="237"/>
      <c r="C23" s="262">
        <v>45737</v>
      </c>
      <c r="D23" s="263" t="s">
        <v>285</v>
      </c>
      <c r="E23" s="263" t="s">
        <v>74</v>
      </c>
      <c r="F23" s="264" t="s">
        <v>600</v>
      </c>
      <c r="G23" s="263" t="s">
        <v>287</v>
      </c>
      <c r="H23" s="245" t="s">
        <v>288</v>
      </c>
      <c r="I23" s="263" t="s">
        <v>289</v>
      </c>
      <c r="J23" s="270" t="s">
        <v>661</v>
      </c>
      <c r="K23" s="265"/>
      <c r="L23" s="263" t="s">
        <v>576</v>
      </c>
      <c r="M23" s="245">
        <v>7901</v>
      </c>
      <c r="N23" s="245">
        <v>371011</v>
      </c>
      <c r="O23" s="266"/>
      <c r="P23" s="245">
        <v>10</v>
      </c>
      <c r="Q23" s="267" t="s">
        <v>26</v>
      </c>
      <c r="R23" s="268">
        <v>47</v>
      </c>
      <c r="S23" s="269">
        <f>Table42[[#This Row],[VALUE]]*Table42[[#This Row],[QTD]]</f>
        <v>470</v>
      </c>
    </row>
    <row r="24" spans="1:19" s="222" customFormat="1" ht="50.1" customHeight="1" x14ac:dyDescent="0.4">
      <c r="A24" s="238"/>
      <c r="B24" s="237"/>
      <c r="C24" s="262">
        <v>45729</v>
      </c>
      <c r="D24" s="263" t="s">
        <v>285</v>
      </c>
      <c r="E24" s="263" t="s">
        <v>74</v>
      </c>
      <c r="F24" s="264" t="s">
        <v>600</v>
      </c>
      <c r="G24" s="263" t="s">
        <v>287</v>
      </c>
      <c r="H24" s="245" t="s">
        <v>288</v>
      </c>
      <c r="I24" s="263" t="s">
        <v>289</v>
      </c>
      <c r="J24" s="270" t="s">
        <v>640</v>
      </c>
      <c r="K24" s="265"/>
      <c r="L24" s="263" t="s">
        <v>576</v>
      </c>
      <c r="M24" s="245">
        <v>7901</v>
      </c>
      <c r="N24" s="245">
        <v>371011</v>
      </c>
      <c r="O24" s="266"/>
      <c r="P24" s="245">
        <v>17</v>
      </c>
      <c r="Q24" s="267" t="s">
        <v>26</v>
      </c>
      <c r="R24" s="268">
        <v>12</v>
      </c>
      <c r="S24" s="269">
        <f>Table42[[#This Row],[VALUE]]*Table42[[#This Row],[QTD]]</f>
        <v>204</v>
      </c>
    </row>
    <row r="25" spans="1:19" s="222" customFormat="1" ht="50.1" customHeight="1" x14ac:dyDescent="0.4">
      <c r="A25" s="238"/>
      <c r="B25" s="237"/>
      <c r="C25" s="262">
        <v>45729</v>
      </c>
      <c r="D25" s="263" t="s">
        <v>285</v>
      </c>
      <c r="E25" s="263" t="s">
        <v>74</v>
      </c>
      <c r="F25" s="264" t="s">
        <v>600</v>
      </c>
      <c r="G25" s="263" t="s">
        <v>287</v>
      </c>
      <c r="H25" s="245" t="s">
        <v>288</v>
      </c>
      <c r="I25" s="263" t="s">
        <v>289</v>
      </c>
      <c r="J25" s="270" t="s">
        <v>662</v>
      </c>
      <c r="K25" s="265"/>
      <c r="L25" s="263" t="s">
        <v>576</v>
      </c>
      <c r="M25" s="245">
        <v>7901</v>
      </c>
      <c r="N25" s="245">
        <v>371011</v>
      </c>
      <c r="O25" s="266"/>
      <c r="P25" s="245">
        <v>8</v>
      </c>
      <c r="Q25" s="267" t="s">
        <v>26</v>
      </c>
      <c r="R25" s="268">
        <v>2.5</v>
      </c>
      <c r="S25" s="269">
        <f>Table42[[#This Row],[VALUE]]*Table42[[#This Row],[QTD]]</f>
        <v>20</v>
      </c>
    </row>
    <row r="26" spans="1:19" s="222" customFormat="1" ht="50.1" customHeight="1" x14ac:dyDescent="0.4">
      <c r="A26" s="238"/>
      <c r="B26" s="237"/>
      <c r="C26" s="262">
        <v>45729</v>
      </c>
      <c r="D26" s="263" t="s">
        <v>285</v>
      </c>
      <c r="E26" s="263" t="s">
        <v>74</v>
      </c>
      <c r="F26" s="264" t="s">
        <v>600</v>
      </c>
      <c r="G26" s="263" t="s">
        <v>287</v>
      </c>
      <c r="H26" s="245" t="s">
        <v>288</v>
      </c>
      <c r="I26" s="263" t="s">
        <v>289</v>
      </c>
      <c r="J26" s="270" t="s">
        <v>663</v>
      </c>
      <c r="K26" s="265"/>
      <c r="L26" s="263" t="s">
        <v>576</v>
      </c>
      <c r="M26" s="245">
        <v>7901</v>
      </c>
      <c r="N26" s="245">
        <v>371011</v>
      </c>
      <c r="O26" s="266"/>
      <c r="P26" s="245">
        <v>4</v>
      </c>
      <c r="Q26" s="267" t="s">
        <v>26</v>
      </c>
      <c r="R26" s="268">
        <v>16</v>
      </c>
      <c r="S26" s="269">
        <f>Table42[[#This Row],[VALUE]]*Table42[[#This Row],[QTD]]</f>
        <v>64</v>
      </c>
    </row>
    <row r="27" spans="1:19" s="222" customFormat="1" ht="50.1" customHeight="1" x14ac:dyDescent="0.4">
      <c r="A27" s="238"/>
      <c r="B27" s="237"/>
      <c r="C27" s="262">
        <v>45729</v>
      </c>
      <c r="D27" s="263" t="s">
        <v>285</v>
      </c>
      <c r="E27" s="263" t="s">
        <v>74</v>
      </c>
      <c r="F27" s="264" t="s">
        <v>600</v>
      </c>
      <c r="G27" s="263" t="s">
        <v>287</v>
      </c>
      <c r="H27" s="245" t="s">
        <v>288</v>
      </c>
      <c r="I27" s="263" t="s">
        <v>289</v>
      </c>
      <c r="J27" s="270" t="s">
        <v>664</v>
      </c>
      <c r="K27" s="265"/>
      <c r="L27" s="263" t="s">
        <v>576</v>
      </c>
      <c r="M27" s="245">
        <v>7901</v>
      </c>
      <c r="N27" s="245">
        <v>371011</v>
      </c>
      <c r="O27" s="266"/>
      <c r="P27" s="245">
        <v>10</v>
      </c>
      <c r="Q27" s="267" t="s">
        <v>26</v>
      </c>
      <c r="R27" s="268">
        <v>16.2</v>
      </c>
      <c r="S27" s="269">
        <f>Table42[[#This Row],[VALUE]]*Table42[[#This Row],[QTD]]</f>
        <v>162</v>
      </c>
    </row>
    <row r="28" spans="1:19" s="222" customFormat="1" ht="50.1" customHeight="1" x14ac:dyDescent="0.4">
      <c r="A28" s="238"/>
      <c r="B28" s="237"/>
      <c r="C28" s="262">
        <v>45729</v>
      </c>
      <c r="D28" s="263" t="s">
        <v>285</v>
      </c>
      <c r="E28" s="263" t="s">
        <v>74</v>
      </c>
      <c r="F28" s="264" t="s">
        <v>600</v>
      </c>
      <c r="G28" s="263" t="s">
        <v>287</v>
      </c>
      <c r="H28" s="245" t="s">
        <v>288</v>
      </c>
      <c r="I28" s="263" t="s">
        <v>289</v>
      </c>
      <c r="J28" s="270" t="s">
        <v>665</v>
      </c>
      <c r="K28" s="265"/>
      <c r="L28" s="263" t="s">
        <v>576</v>
      </c>
      <c r="M28" s="245">
        <v>7901</v>
      </c>
      <c r="N28" s="245">
        <v>371011</v>
      </c>
      <c r="O28" s="266"/>
      <c r="P28" s="245">
        <v>10</v>
      </c>
      <c r="Q28" s="267" t="s">
        <v>26</v>
      </c>
      <c r="R28" s="268">
        <v>13.5</v>
      </c>
      <c r="S28" s="269">
        <f>Table42[[#This Row],[VALUE]]*Table42[[#This Row],[QTD]]</f>
        <v>135</v>
      </c>
    </row>
    <row r="29" spans="1:19" s="222" customFormat="1" ht="50.1" customHeight="1" x14ac:dyDescent="0.4">
      <c r="A29" s="238"/>
      <c r="B29" s="237"/>
      <c r="C29" s="262">
        <v>45729</v>
      </c>
      <c r="D29" s="263" t="s">
        <v>285</v>
      </c>
      <c r="E29" s="263" t="s">
        <v>74</v>
      </c>
      <c r="F29" s="264" t="s">
        <v>600</v>
      </c>
      <c r="G29" s="263" t="s">
        <v>287</v>
      </c>
      <c r="H29" s="245" t="s">
        <v>288</v>
      </c>
      <c r="I29" s="263" t="s">
        <v>289</v>
      </c>
      <c r="J29" s="270" t="s">
        <v>666</v>
      </c>
      <c r="K29" s="265"/>
      <c r="L29" s="263" t="s">
        <v>576</v>
      </c>
      <c r="M29" s="245">
        <v>7901</v>
      </c>
      <c r="N29" s="245">
        <v>371011</v>
      </c>
      <c r="O29" s="266"/>
      <c r="P29" s="245">
        <v>10</v>
      </c>
      <c r="Q29" s="267" t="s">
        <v>26</v>
      </c>
      <c r="R29" s="268">
        <v>27</v>
      </c>
      <c r="S29" s="269">
        <f>Table42[[#This Row],[VALUE]]*Table42[[#This Row],[QTD]]</f>
        <v>270</v>
      </c>
    </row>
    <row r="30" spans="1:19" s="222" customFormat="1" ht="50.1" customHeight="1" x14ac:dyDescent="0.4">
      <c r="A30" s="238"/>
      <c r="B30" s="237"/>
      <c r="C30" s="262">
        <v>45729</v>
      </c>
      <c r="D30" s="263" t="s">
        <v>285</v>
      </c>
      <c r="E30" s="263" t="s">
        <v>74</v>
      </c>
      <c r="F30" s="264" t="s">
        <v>600</v>
      </c>
      <c r="G30" s="263" t="s">
        <v>287</v>
      </c>
      <c r="H30" s="245" t="s">
        <v>288</v>
      </c>
      <c r="I30" s="263" t="s">
        <v>289</v>
      </c>
      <c r="J30" s="270" t="s">
        <v>667</v>
      </c>
      <c r="K30" s="265"/>
      <c r="L30" s="263" t="s">
        <v>576</v>
      </c>
      <c r="M30" s="245">
        <v>7901</v>
      </c>
      <c r="N30" s="245">
        <v>371011</v>
      </c>
      <c r="O30" s="266"/>
      <c r="P30" s="245">
        <v>10</v>
      </c>
      <c r="Q30" s="267" t="s">
        <v>26</v>
      </c>
      <c r="R30" s="268">
        <v>30</v>
      </c>
      <c r="S30" s="269">
        <f>Table42[[#This Row],[VALUE]]*Table42[[#This Row],[QTD]]</f>
        <v>300</v>
      </c>
    </row>
    <row r="31" spans="1:19" s="222" customFormat="1" ht="50.1" customHeight="1" x14ac:dyDescent="0.4">
      <c r="A31" s="238"/>
      <c r="B31" s="237"/>
      <c r="C31" s="262">
        <v>45729</v>
      </c>
      <c r="D31" s="263" t="s">
        <v>285</v>
      </c>
      <c r="E31" s="263" t="s">
        <v>74</v>
      </c>
      <c r="F31" s="264" t="s">
        <v>600</v>
      </c>
      <c r="G31" s="263" t="s">
        <v>287</v>
      </c>
      <c r="H31" s="245" t="s">
        <v>288</v>
      </c>
      <c r="I31" s="263" t="s">
        <v>289</v>
      </c>
      <c r="J31" s="270" t="s">
        <v>668</v>
      </c>
      <c r="K31" s="265"/>
      <c r="L31" s="263" t="s">
        <v>576</v>
      </c>
      <c r="M31" s="245">
        <v>7901</v>
      </c>
      <c r="N31" s="245">
        <v>371011</v>
      </c>
      <c r="O31" s="266"/>
      <c r="P31" s="245">
        <v>1</v>
      </c>
      <c r="Q31" s="267" t="s">
        <v>26</v>
      </c>
      <c r="R31" s="268">
        <v>127</v>
      </c>
      <c r="S31" s="269">
        <f>Table42[[#This Row],[VALUE]]*Table42[[#This Row],[QTD]]</f>
        <v>127</v>
      </c>
    </row>
    <row r="32" spans="1:19" s="222" customFormat="1" ht="50.1" customHeight="1" x14ac:dyDescent="0.4">
      <c r="A32" s="238"/>
      <c r="B32" s="237"/>
      <c r="C32" s="262">
        <v>45729</v>
      </c>
      <c r="D32" s="263" t="s">
        <v>285</v>
      </c>
      <c r="E32" s="263" t="s">
        <v>74</v>
      </c>
      <c r="F32" s="264" t="s">
        <v>600</v>
      </c>
      <c r="G32" s="263" t="s">
        <v>287</v>
      </c>
      <c r="H32" s="245" t="s">
        <v>288</v>
      </c>
      <c r="I32" s="263" t="s">
        <v>289</v>
      </c>
      <c r="J32" s="270" t="s">
        <v>669</v>
      </c>
      <c r="K32" s="265"/>
      <c r="L32" s="263" t="s">
        <v>576</v>
      </c>
      <c r="M32" s="245">
        <v>7901</v>
      </c>
      <c r="N32" s="245">
        <v>371011</v>
      </c>
      <c r="O32" s="266"/>
      <c r="P32" s="245">
        <v>1</v>
      </c>
      <c r="Q32" s="267" t="s">
        <v>26</v>
      </c>
      <c r="R32" s="268">
        <v>325</v>
      </c>
      <c r="S32" s="269">
        <f>Table42[[#This Row],[VALUE]]*Table42[[#This Row],[QTD]]</f>
        <v>325</v>
      </c>
    </row>
    <row r="33" spans="1:19" s="222" customFormat="1" ht="50.1" customHeight="1" x14ac:dyDescent="0.4">
      <c r="A33" s="238"/>
      <c r="B33" s="237"/>
      <c r="C33" s="262">
        <v>45729</v>
      </c>
      <c r="D33" s="263" t="s">
        <v>285</v>
      </c>
      <c r="E33" s="263" t="s">
        <v>74</v>
      </c>
      <c r="F33" s="264" t="s">
        <v>600</v>
      </c>
      <c r="G33" s="263" t="s">
        <v>287</v>
      </c>
      <c r="H33" s="245" t="s">
        <v>288</v>
      </c>
      <c r="I33" s="263" t="s">
        <v>289</v>
      </c>
      <c r="J33" s="270" t="s">
        <v>670</v>
      </c>
      <c r="K33" s="265"/>
      <c r="L33" s="263" t="s">
        <v>576</v>
      </c>
      <c r="M33" s="245">
        <v>7901</v>
      </c>
      <c r="N33" s="245">
        <v>371011</v>
      </c>
      <c r="O33" s="266"/>
      <c r="P33" s="245">
        <v>1</v>
      </c>
      <c r="Q33" s="267" t="s">
        <v>26</v>
      </c>
      <c r="R33" s="268">
        <v>127</v>
      </c>
      <c r="S33" s="269">
        <f>Table42[[#This Row],[VALUE]]*Table42[[#This Row],[QTD]]</f>
        <v>127</v>
      </c>
    </row>
    <row r="34" spans="1:19" s="222" customFormat="1" ht="50.1" customHeight="1" x14ac:dyDescent="0.4">
      <c r="A34" s="238"/>
      <c r="B34" s="237"/>
      <c r="C34" s="262">
        <v>45726</v>
      </c>
      <c r="D34" s="263" t="s">
        <v>285</v>
      </c>
      <c r="E34" s="263" t="s">
        <v>74</v>
      </c>
      <c r="F34" s="264" t="s">
        <v>600</v>
      </c>
      <c r="G34" s="263" t="s">
        <v>287</v>
      </c>
      <c r="H34" s="245" t="s">
        <v>288</v>
      </c>
      <c r="I34" s="263" t="s">
        <v>289</v>
      </c>
      <c r="J34" s="270" t="s">
        <v>671</v>
      </c>
      <c r="K34" s="265"/>
      <c r="L34" s="263" t="s">
        <v>576</v>
      </c>
      <c r="M34" s="245">
        <v>7901</v>
      </c>
      <c r="N34" s="245">
        <v>371011</v>
      </c>
      <c r="O34" s="266"/>
      <c r="P34" s="245">
        <v>2</v>
      </c>
      <c r="Q34" s="267" t="s">
        <v>26</v>
      </c>
      <c r="R34" s="268">
        <v>227</v>
      </c>
      <c r="S34" s="269">
        <f>Table42[[#This Row],[VALUE]]*Table42[[#This Row],[QTD]]</f>
        <v>454</v>
      </c>
    </row>
    <row r="35" spans="1:19" s="222" customFormat="1" ht="50.1" customHeight="1" x14ac:dyDescent="0.4">
      <c r="A35" s="238"/>
      <c r="B35" s="237"/>
      <c r="C35" s="262">
        <v>45726</v>
      </c>
      <c r="D35" s="263" t="s">
        <v>285</v>
      </c>
      <c r="E35" s="263" t="s">
        <v>74</v>
      </c>
      <c r="F35" s="264" t="s">
        <v>600</v>
      </c>
      <c r="G35" s="263" t="s">
        <v>287</v>
      </c>
      <c r="H35" s="245" t="s">
        <v>288</v>
      </c>
      <c r="I35" s="263" t="s">
        <v>289</v>
      </c>
      <c r="J35" s="270" t="s">
        <v>672</v>
      </c>
      <c r="K35" s="265"/>
      <c r="L35" s="263" t="s">
        <v>576</v>
      </c>
      <c r="M35" s="245">
        <v>7901</v>
      </c>
      <c r="N35" s="245">
        <v>371011</v>
      </c>
      <c r="O35" s="266"/>
      <c r="P35" s="245">
        <v>12</v>
      </c>
      <c r="Q35" s="267" t="s">
        <v>26</v>
      </c>
      <c r="R35" s="268">
        <v>22.5</v>
      </c>
      <c r="S35" s="269">
        <f>Table42[[#This Row],[VALUE]]*Table42[[#This Row],[QTD]]</f>
        <v>270</v>
      </c>
    </row>
    <row r="36" spans="1:19" s="222" customFormat="1" ht="50.1" customHeight="1" x14ac:dyDescent="0.4">
      <c r="A36" s="238"/>
      <c r="B36" s="237"/>
      <c r="C36" s="262">
        <v>45726</v>
      </c>
      <c r="D36" s="263" t="s">
        <v>285</v>
      </c>
      <c r="E36" s="263" t="s">
        <v>74</v>
      </c>
      <c r="F36" s="264" t="s">
        <v>600</v>
      </c>
      <c r="G36" s="263" t="s">
        <v>287</v>
      </c>
      <c r="H36" s="245" t="s">
        <v>288</v>
      </c>
      <c r="I36" s="263" t="s">
        <v>289</v>
      </c>
      <c r="J36" s="270" t="s">
        <v>673</v>
      </c>
      <c r="K36" s="265"/>
      <c r="L36" s="263" t="s">
        <v>576</v>
      </c>
      <c r="M36" s="245">
        <v>7901</v>
      </c>
      <c r="N36" s="245">
        <v>371011</v>
      </c>
      <c r="O36" s="266"/>
      <c r="P36" s="245">
        <v>12</v>
      </c>
      <c r="Q36" s="267" t="s">
        <v>26</v>
      </c>
      <c r="R36" s="268">
        <v>8.5</v>
      </c>
      <c r="S36" s="269">
        <f>Table42[[#This Row],[VALUE]]*Table42[[#This Row],[QTD]]</f>
        <v>102</v>
      </c>
    </row>
    <row r="37" spans="1:19" s="222" customFormat="1" ht="50.1" customHeight="1" x14ac:dyDescent="0.4">
      <c r="A37" s="238"/>
      <c r="B37" s="237"/>
      <c r="C37" s="262">
        <v>45726</v>
      </c>
      <c r="D37" s="263" t="s">
        <v>285</v>
      </c>
      <c r="E37" s="263" t="s">
        <v>74</v>
      </c>
      <c r="F37" s="264" t="s">
        <v>600</v>
      </c>
      <c r="G37" s="263" t="s">
        <v>287</v>
      </c>
      <c r="H37" s="245" t="s">
        <v>288</v>
      </c>
      <c r="I37" s="263" t="s">
        <v>289</v>
      </c>
      <c r="J37" s="270" t="s">
        <v>640</v>
      </c>
      <c r="K37" s="265"/>
      <c r="L37" s="263" t="s">
        <v>576</v>
      </c>
      <c r="M37" s="245">
        <v>7901</v>
      </c>
      <c r="N37" s="245">
        <v>371011</v>
      </c>
      <c r="O37" s="266"/>
      <c r="P37" s="245">
        <v>12</v>
      </c>
      <c r="Q37" s="267" t="s">
        <v>26</v>
      </c>
      <c r="R37" s="268">
        <v>12</v>
      </c>
      <c r="S37" s="269">
        <f>Table42[[#This Row],[VALUE]]*Table42[[#This Row],[QTD]]</f>
        <v>144</v>
      </c>
    </row>
    <row r="38" spans="1:19" s="222" customFormat="1" ht="50.1" customHeight="1" x14ac:dyDescent="0.4">
      <c r="A38" s="238"/>
      <c r="B38" s="237"/>
      <c r="C38" s="262">
        <v>45726</v>
      </c>
      <c r="D38" s="263" t="s">
        <v>285</v>
      </c>
      <c r="E38" s="263" t="s">
        <v>74</v>
      </c>
      <c r="F38" s="264" t="s">
        <v>600</v>
      </c>
      <c r="G38" s="263" t="s">
        <v>287</v>
      </c>
      <c r="H38" s="245" t="s">
        <v>288</v>
      </c>
      <c r="I38" s="263" t="s">
        <v>289</v>
      </c>
      <c r="J38" s="270" t="s">
        <v>674</v>
      </c>
      <c r="K38" s="265"/>
      <c r="L38" s="263" t="s">
        <v>576</v>
      </c>
      <c r="M38" s="245">
        <v>7901</v>
      </c>
      <c r="N38" s="245">
        <v>371011</v>
      </c>
      <c r="O38" s="266"/>
      <c r="P38" s="245">
        <v>12</v>
      </c>
      <c r="Q38" s="267" t="s">
        <v>26</v>
      </c>
      <c r="R38" s="268">
        <v>1</v>
      </c>
      <c r="S38" s="269">
        <f>Table42[[#This Row],[VALUE]]*Table42[[#This Row],[QTD]]</f>
        <v>12</v>
      </c>
    </row>
    <row r="39" spans="1:19" s="222" customFormat="1" ht="50.1" customHeight="1" x14ac:dyDescent="0.4">
      <c r="A39" s="238"/>
      <c r="B39" s="237"/>
      <c r="C39" s="262">
        <v>45726</v>
      </c>
      <c r="D39" s="263" t="s">
        <v>285</v>
      </c>
      <c r="E39" s="263" t="s">
        <v>74</v>
      </c>
      <c r="F39" s="264" t="s">
        <v>600</v>
      </c>
      <c r="G39" s="263" t="s">
        <v>287</v>
      </c>
      <c r="H39" s="245" t="s">
        <v>288</v>
      </c>
      <c r="I39" s="263" t="s">
        <v>289</v>
      </c>
      <c r="J39" s="270" t="s">
        <v>675</v>
      </c>
      <c r="K39" s="265"/>
      <c r="L39" s="263" t="s">
        <v>576</v>
      </c>
      <c r="M39" s="245">
        <v>7901</v>
      </c>
      <c r="N39" s="245">
        <v>371011</v>
      </c>
      <c r="O39" s="266"/>
      <c r="P39" s="245">
        <v>12</v>
      </c>
      <c r="Q39" s="267" t="s">
        <v>26</v>
      </c>
      <c r="R39" s="268">
        <v>1.1000000000000001</v>
      </c>
      <c r="S39" s="269">
        <f>Table42[[#This Row],[VALUE]]*Table42[[#This Row],[QTD]]</f>
        <v>13.200000000000001</v>
      </c>
    </row>
    <row r="40" spans="1:19" s="222" customFormat="1" ht="50.1" customHeight="1" x14ac:dyDescent="0.4">
      <c r="A40" s="238"/>
      <c r="B40" s="237"/>
      <c r="C40" s="262">
        <v>45726</v>
      </c>
      <c r="D40" s="263" t="s">
        <v>285</v>
      </c>
      <c r="E40" s="263" t="s">
        <v>74</v>
      </c>
      <c r="F40" s="264" t="s">
        <v>600</v>
      </c>
      <c r="G40" s="263" t="s">
        <v>287</v>
      </c>
      <c r="H40" s="245" t="s">
        <v>288</v>
      </c>
      <c r="I40" s="263" t="s">
        <v>289</v>
      </c>
      <c r="J40" s="270" t="s">
        <v>676</v>
      </c>
      <c r="K40" s="265"/>
      <c r="L40" s="263" t="s">
        <v>576</v>
      </c>
      <c r="M40" s="245">
        <v>7901</v>
      </c>
      <c r="N40" s="245">
        <v>371011</v>
      </c>
      <c r="O40" s="266"/>
      <c r="P40" s="245">
        <v>12</v>
      </c>
      <c r="Q40" s="267" t="s">
        <v>26</v>
      </c>
      <c r="R40" s="268">
        <v>3.15</v>
      </c>
      <c r="S40" s="269">
        <f>Table42[[#This Row],[VALUE]]*Table42[[#This Row],[QTD]]</f>
        <v>37.799999999999997</v>
      </c>
    </row>
    <row r="41" spans="1:19" s="222" customFormat="1" ht="50.1" customHeight="1" x14ac:dyDescent="0.4">
      <c r="A41" s="238"/>
      <c r="B41" s="237"/>
      <c r="C41" s="262">
        <v>45726</v>
      </c>
      <c r="D41" s="263" t="s">
        <v>285</v>
      </c>
      <c r="E41" s="263" t="s">
        <v>74</v>
      </c>
      <c r="F41" s="264" t="s">
        <v>600</v>
      </c>
      <c r="G41" s="263" t="s">
        <v>287</v>
      </c>
      <c r="H41" s="245" t="s">
        <v>288</v>
      </c>
      <c r="I41" s="263" t="s">
        <v>289</v>
      </c>
      <c r="J41" s="270" t="s">
        <v>677</v>
      </c>
      <c r="K41" s="265"/>
      <c r="L41" s="263" t="s">
        <v>576</v>
      </c>
      <c r="M41" s="245">
        <v>7901</v>
      </c>
      <c r="N41" s="245">
        <v>371011</v>
      </c>
      <c r="O41" s="266"/>
      <c r="P41" s="245">
        <v>12</v>
      </c>
      <c r="Q41" s="267" t="s">
        <v>26</v>
      </c>
      <c r="R41" s="268">
        <v>4.5</v>
      </c>
      <c r="S41" s="269">
        <f>Table42[[#This Row],[VALUE]]*Table42[[#This Row],[QTD]]</f>
        <v>54</v>
      </c>
    </row>
    <row r="42" spans="1:19" s="222" customFormat="1" ht="50.1" customHeight="1" x14ac:dyDescent="0.4">
      <c r="A42" s="238"/>
      <c r="B42" s="237"/>
      <c r="C42" s="262">
        <v>45726</v>
      </c>
      <c r="D42" s="263" t="s">
        <v>285</v>
      </c>
      <c r="E42" s="263" t="s">
        <v>74</v>
      </c>
      <c r="F42" s="264" t="s">
        <v>600</v>
      </c>
      <c r="G42" s="263" t="s">
        <v>287</v>
      </c>
      <c r="H42" s="245" t="s">
        <v>288</v>
      </c>
      <c r="I42" s="263" t="s">
        <v>289</v>
      </c>
      <c r="J42" s="270" t="s">
        <v>675</v>
      </c>
      <c r="K42" s="265"/>
      <c r="L42" s="263" t="s">
        <v>576</v>
      </c>
      <c r="M42" s="245">
        <v>7901</v>
      </c>
      <c r="N42" s="245">
        <v>371011</v>
      </c>
      <c r="O42" s="266"/>
      <c r="P42" s="245">
        <v>40</v>
      </c>
      <c r="Q42" s="267" t="s">
        <v>26</v>
      </c>
      <c r="R42" s="268">
        <v>1.1000000000000001</v>
      </c>
      <c r="S42" s="269">
        <f>Table42[[#This Row],[VALUE]]*Table42[[#This Row],[QTD]]</f>
        <v>44</v>
      </c>
    </row>
    <row r="43" spans="1:19" s="222" customFormat="1" ht="50.1" customHeight="1" x14ac:dyDescent="0.4">
      <c r="A43" s="238"/>
      <c r="B43" s="237"/>
      <c r="C43" s="262">
        <v>45726</v>
      </c>
      <c r="D43" s="263" t="s">
        <v>285</v>
      </c>
      <c r="E43" s="263" t="s">
        <v>74</v>
      </c>
      <c r="F43" s="264" t="s">
        <v>600</v>
      </c>
      <c r="G43" s="263" t="s">
        <v>287</v>
      </c>
      <c r="H43" s="245" t="s">
        <v>288</v>
      </c>
      <c r="I43" s="263" t="s">
        <v>289</v>
      </c>
      <c r="J43" s="270" t="s">
        <v>678</v>
      </c>
      <c r="K43" s="265"/>
      <c r="L43" s="263" t="s">
        <v>576</v>
      </c>
      <c r="M43" s="245">
        <v>7901</v>
      </c>
      <c r="N43" s="245">
        <v>371011</v>
      </c>
      <c r="O43" s="266"/>
      <c r="P43" s="245">
        <v>20</v>
      </c>
      <c r="Q43" s="267" t="s">
        <v>26</v>
      </c>
      <c r="R43" s="268">
        <v>5.5</v>
      </c>
      <c r="S43" s="269">
        <f>Table42[[#This Row],[VALUE]]*Table42[[#This Row],[QTD]]</f>
        <v>110</v>
      </c>
    </row>
    <row r="44" spans="1:19" s="222" customFormat="1" ht="50.1" customHeight="1" x14ac:dyDescent="0.4">
      <c r="A44" s="238"/>
      <c r="B44" s="237"/>
      <c r="C44" s="262">
        <v>45726</v>
      </c>
      <c r="D44" s="263" t="s">
        <v>285</v>
      </c>
      <c r="E44" s="263" t="s">
        <v>74</v>
      </c>
      <c r="F44" s="264" t="s">
        <v>600</v>
      </c>
      <c r="G44" s="263" t="s">
        <v>287</v>
      </c>
      <c r="H44" s="245" t="s">
        <v>288</v>
      </c>
      <c r="I44" s="263" t="s">
        <v>289</v>
      </c>
      <c r="J44" s="270" t="s">
        <v>679</v>
      </c>
      <c r="K44" s="265"/>
      <c r="L44" s="263" t="s">
        <v>576</v>
      </c>
      <c r="M44" s="245">
        <v>7901</v>
      </c>
      <c r="N44" s="245">
        <v>371011</v>
      </c>
      <c r="O44" s="266"/>
      <c r="P44" s="245">
        <v>4</v>
      </c>
      <c r="Q44" s="267" t="s">
        <v>26</v>
      </c>
      <c r="R44" s="268">
        <v>127</v>
      </c>
      <c r="S44" s="269">
        <f>Table42[[#This Row],[VALUE]]*Table42[[#This Row],[QTD]]</f>
        <v>508</v>
      </c>
    </row>
    <row r="45" spans="1:19" s="222" customFormat="1" ht="50.1" customHeight="1" x14ac:dyDescent="0.4">
      <c r="A45" s="238"/>
      <c r="B45" s="237"/>
      <c r="C45" s="262">
        <v>45723</v>
      </c>
      <c r="D45" s="263" t="s">
        <v>285</v>
      </c>
      <c r="E45" s="263" t="s">
        <v>74</v>
      </c>
      <c r="F45" s="264" t="s">
        <v>600</v>
      </c>
      <c r="G45" s="263" t="s">
        <v>287</v>
      </c>
      <c r="H45" s="245" t="s">
        <v>288</v>
      </c>
      <c r="I45" s="263" t="s">
        <v>289</v>
      </c>
      <c r="J45" s="270" t="s">
        <v>677</v>
      </c>
      <c r="K45" s="265"/>
      <c r="L45" s="263" t="s">
        <v>576</v>
      </c>
      <c r="M45" s="245">
        <v>7901</v>
      </c>
      <c r="N45" s="245">
        <v>371011</v>
      </c>
      <c r="O45" s="266"/>
      <c r="P45" s="245">
        <v>1</v>
      </c>
      <c r="Q45" s="267" t="s">
        <v>26</v>
      </c>
      <c r="R45" s="268">
        <v>4.5</v>
      </c>
      <c r="S45" s="269">
        <f>Table42[[#This Row],[VALUE]]*Table42[[#This Row],[QTD]]</f>
        <v>4.5</v>
      </c>
    </row>
    <row r="46" spans="1:19" s="222" customFormat="1" ht="50.1" customHeight="1" x14ac:dyDescent="0.4">
      <c r="A46" s="238"/>
      <c r="B46" s="237"/>
      <c r="C46" s="262">
        <v>45723</v>
      </c>
      <c r="D46" s="263" t="s">
        <v>285</v>
      </c>
      <c r="E46" s="263" t="s">
        <v>74</v>
      </c>
      <c r="F46" s="264" t="s">
        <v>600</v>
      </c>
      <c r="G46" s="263" t="s">
        <v>287</v>
      </c>
      <c r="H46" s="245" t="s">
        <v>288</v>
      </c>
      <c r="I46" s="263" t="s">
        <v>289</v>
      </c>
      <c r="J46" s="270" t="s">
        <v>681</v>
      </c>
      <c r="K46" s="265"/>
      <c r="L46" s="263" t="s">
        <v>576</v>
      </c>
      <c r="M46" s="245">
        <v>7901</v>
      </c>
      <c r="N46" s="245">
        <v>371011</v>
      </c>
      <c r="O46" s="266"/>
      <c r="P46" s="245">
        <v>1</v>
      </c>
      <c r="Q46" s="267" t="s">
        <v>26</v>
      </c>
      <c r="R46" s="268">
        <v>115.04</v>
      </c>
      <c r="S46" s="269">
        <f>Table42[[#This Row],[VALUE]]*Table42[[#This Row],[QTD]]</f>
        <v>115.04</v>
      </c>
    </row>
    <row r="47" spans="1:19" s="222" customFormat="1" ht="50.1" customHeight="1" x14ac:dyDescent="0.4">
      <c r="A47" s="238"/>
      <c r="B47" s="237"/>
      <c r="C47" s="262">
        <v>45723</v>
      </c>
      <c r="D47" s="263" t="s">
        <v>285</v>
      </c>
      <c r="E47" s="263" t="s">
        <v>74</v>
      </c>
      <c r="F47" s="264" t="s">
        <v>600</v>
      </c>
      <c r="G47" s="263" t="s">
        <v>287</v>
      </c>
      <c r="H47" s="245" t="s">
        <v>288</v>
      </c>
      <c r="I47" s="263" t="s">
        <v>289</v>
      </c>
      <c r="J47" s="270" t="s">
        <v>680</v>
      </c>
      <c r="K47" s="265"/>
      <c r="L47" s="263" t="s">
        <v>576</v>
      </c>
      <c r="M47" s="245">
        <v>7901</v>
      </c>
      <c r="N47" s="245">
        <v>371011</v>
      </c>
      <c r="O47" s="266"/>
      <c r="P47" s="245">
        <v>1</v>
      </c>
      <c r="Q47" s="267" t="s">
        <v>26</v>
      </c>
      <c r="R47" s="268">
        <v>142</v>
      </c>
      <c r="S47" s="269">
        <f>Table42[[#This Row],[VALUE]]*Table42[[#This Row],[QTD]]</f>
        <v>142</v>
      </c>
    </row>
    <row r="48" spans="1:19" s="222" customFormat="1" ht="50.1" customHeight="1" x14ac:dyDescent="0.4">
      <c r="A48" s="238"/>
      <c r="B48" s="237"/>
      <c r="C48" s="262">
        <v>45723</v>
      </c>
      <c r="D48" s="263" t="s">
        <v>285</v>
      </c>
      <c r="E48" s="263" t="s">
        <v>74</v>
      </c>
      <c r="F48" s="264" t="s">
        <v>600</v>
      </c>
      <c r="G48" s="263" t="s">
        <v>287</v>
      </c>
      <c r="H48" s="245" t="s">
        <v>288</v>
      </c>
      <c r="I48" s="263" t="s">
        <v>289</v>
      </c>
      <c r="J48" s="270" t="s">
        <v>682</v>
      </c>
      <c r="K48" s="265"/>
      <c r="L48" s="263" t="s">
        <v>576</v>
      </c>
      <c r="M48" s="245">
        <v>7901</v>
      </c>
      <c r="N48" s="245">
        <v>371011</v>
      </c>
      <c r="O48" s="266"/>
      <c r="P48" s="245">
        <v>1</v>
      </c>
      <c r="Q48" s="267" t="s">
        <v>26</v>
      </c>
      <c r="R48" s="268">
        <v>89.44</v>
      </c>
      <c r="S48" s="269">
        <f>Table42[[#This Row],[VALUE]]*Table42[[#This Row],[QTD]]</f>
        <v>89.44</v>
      </c>
    </row>
    <row r="49" spans="1:19" s="222" customFormat="1" ht="50.1" customHeight="1" x14ac:dyDescent="0.4">
      <c r="A49" s="238"/>
      <c r="B49" s="237"/>
      <c r="C49" s="262">
        <v>45723</v>
      </c>
      <c r="D49" s="263" t="s">
        <v>285</v>
      </c>
      <c r="E49" s="263" t="s">
        <v>74</v>
      </c>
      <c r="F49" s="264" t="s">
        <v>600</v>
      </c>
      <c r="G49" s="263" t="s">
        <v>287</v>
      </c>
      <c r="H49" s="245" t="s">
        <v>288</v>
      </c>
      <c r="I49" s="263" t="s">
        <v>289</v>
      </c>
      <c r="J49" s="270" t="s">
        <v>683</v>
      </c>
      <c r="K49" s="265"/>
      <c r="L49" s="263" t="s">
        <v>576</v>
      </c>
      <c r="M49" s="245">
        <v>7901</v>
      </c>
      <c r="N49" s="245">
        <v>371011</v>
      </c>
      <c r="O49" s="266"/>
      <c r="P49" s="245">
        <v>1</v>
      </c>
      <c r="Q49" s="267" t="s">
        <v>26</v>
      </c>
      <c r="R49" s="268">
        <v>45</v>
      </c>
      <c r="S49" s="269">
        <f>Table42[[#This Row],[VALUE]]*Table42[[#This Row],[QTD]]</f>
        <v>45</v>
      </c>
    </row>
    <row r="50" spans="1:19" s="222" customFormat="1" ht="50.1" customHeight="1" x14ac:dyDescent="0.4">
      <c r="A50" s="238"/>
      <c r="B50" s="237"/>
      <c r="C50" s="262">
        <v>45723</v>
      </c>
      <c r="D50" s="263" t="s">
        <v>285</v>
      </c>
      <c r="E50" s="263" t="s">
        <v>634</v>
      </c>
      <c r="F50" s="264" t="s">
        <v>633</v>
      </c>
      <c r="G50" s="263" t="s">
        <v>287</v>
      </c>
      <c r="H50" s="245" t="s">
        <v>288</v>
      </c>
      <c r="I50" s="263" t="s">
        <v>289</v>
      </c>
      <c r="J50" s="271" t="s">
        <v>662</v>
      </c>
      <c r="K50" s="265"/>
      <c r="L50" s="263" t="s">
        <v>576</v>
      </c>
      <c r="M50" s="245">
        <v>7901</v>
      </c>
      <c r="N50" s="245">
        <v>371011</v>
      </c>
      <c r="O50" s="266"/>
      <c r="P50" s="245">
        <v>15</v>
      </c>
      <c r="Q50" s="267" t="s">
        <v>26</v>
      </c>
      <c r="R50" s="268">
        <v>2.5</v>
      </c>
      <c r="S50" s="269">
        <f>Table42[[#This Row],[VALUE]]*Table42[[#This Row],[QTD]]</f>
        <v>37.5</v>
      </c>
    </row>
    <row r="51" spans="1:19" s="222" customFormat="1" ht="50.1" customHeight="1" x14ac:dyDescent="0.4">
      <c r="A51" s="238"/>
      <c r="B51" s="237"/>
      <c r="C51" s="262">
        <v>45723</v>
      </c>
      <c r="D51" s="263" t="s">
        <v>285</v>
      </c>
      <c r="E51" s="263" t="s">
        <v>634</v>
      </c>
      <c r="F51" s="264" t="s">
        <v>633</v>
      </c>
      <c r="G51" s="263" t="s">
        <v>287</v>
      </c>
      <c r="H51" s="245" t="s">
        <v>288</v>
      </c>
      <c r="I51" s="263" t="s">
        <v>289</v>
      </c>
      <c r="J51" s="271" t="s">
        <v>662</v>
      </c>
      <c r="K51" s="265"/>
      <c r="L51" s="263" t="s">
        <v>576</v>
      </c>
      <c r="M51" s="245">
        <v>7901</v>
      </c>
      <c r="N51" s="245">
        <v>371011</v>
      </c>
      <c r="O51" s="266"/>
      <c r="P51" s="245">
        <v>15</v>
      </c>
      <c r="Q51" s="267" t="s">
        <v>26</v>
      </c>
      <c r="R51" s="268">
        <v>2.5</v>
      </c>
      <c r="S51" s="269">
        <f>Table42[[#This Row],[VALUE]]*Table42[[#This Row],[QTD]]</f>
        <v>37.5</v>
      </c>
    </row>
    <row r="52" spans="1:19" s="222" customFormat="1" ht="50.1" customHeight="1" x14ac:dyDescent="0.4">
      <c r="A52" s="238"/>
      <c r="B52" s="237"/>
      <c r="C52" s="262">
        <v>45723</v>
      </c>
      <c r="D52" s="263" t="s">
        <v>285</v>
      </c>
      <c r="E52" s="263" t="s">
        <v>634</v>
      </c>
      <c r="F52" s="264" t="s">
        <v>633</v>
      </c>
      <c r="G52" s="263" t="s">
        <v>287</v>
      </c>
      <c r="H52" s="245" t="s">
        <v>288</v>
      </c>
      <c r="I52" s="263" t="s">
        <v>289</v>
      </c>
      <c r="J52" s="271" t="s">
        <v>684</v>
      </c>
      <c r="K52" s="265"/>
      <c r="L52" s="263" t="s">
        <v>576</v>
      </c>
      <c r="M52" s="245">
        <v>7901</v>
      </c>
      <c r="N52" s="245">
        <v>371011</v>
      </c>
      <c r="O52" s="266"/>
      <c r="P52" s="245">
        <v>16</v>
      </c>
      <c r="Q52" s="267" t="s">
        <v>26</v>
      </c>
      <c r="R52" s="268">
        <v>11.5</v>
      </c>
      <c r="S52" s="269">
        <f>Table42[[#This Row],[VALUE]]*Table42[[#This Row],[QTD]]</f>
        <v>184</v>
      </c>
    </row>
    <row r="53" spans="1:19" s="222" customFormat="1" ht="50.1" customHeight="1" x14ac:dyDescent="0.4">
      <c r="A53" s="238"/>
      <c r="B53" s="237"/>
      <c r="C53" s="262">
        <v>45723</v>
      </c>
      <c r="D53" s="263" t="s">
        <v>285</v>
      </c>
      <c r="E53" s="263" t="s">
        <v>634</v>
      </c>
      <c r="F53" s="264" t="s">
        <v>633</v>
      </c>
      <c r="G53" s="263" t="s">
        <v>287</v>
      </c>
      <c r="H53" s="245" t="s">
        <v>288</v>
      </c>
      <c r="I53" s="263" t="s">
        <v>289</v>
      </c>
      <c r="J53" s="271" t="s">
        <v>684</v>
      </c>
      <c r="K53" s="265"/>
      <c r="L53" s="263" t="s">
        <v>576</v>
      </c>
      <c r="M53" s="245">
        <v>7901</v>
      </c>
      <c r="N53" s="245">
        <v>371011</v>
      </c>
      <c r="O53" s="266"/>
      <c r="P53" s="245">
        <v>16</v>
      </c>
      <c r="Q53" s="267" t="s">
        <v>26</v>
      </c>
      <c r="R53" s="268">
        <v>11.5</v>
      </c>
      <c r="S53" s="269">
        <f>Table42[[#This Row],[VALUE]]*Table42[[#This Row],[QTD]]</f>
        <v>184</v>
      </c>
    </row>
    <row r="54" spans="1:19" s="222" customFormat="1" ht="50.1" customHeight="1" x14ac:dyDescent="0.4">
      <c r="A54" s="238"/>
      <c r="B54" s="237"/>
      <c r="C54" s="262">
        <v>45723</v>
      </c>
      <c r="D54" s="263" t="s">
        <v>285</v>
      </c>
      <c r="E54" s="263" t="s">
        <v>634</v>
      </c>
      <c r="F54" s="264" t="s">
        <v>633</v>
      </c>
      <c r="G54" s="263" t="s">
        <v>287</v>
      </c>
      <c r="H54" s="245" t="s">
        <v>288</v>
      </c>
      <c r="I54" s="263" t="s">
        <v>289</v>
      </c>
      <c r="J54" s="271" t="s">
        <v>685</v>
      </c>
      <c r="K54" s="265"/>
      <c r="L54" s="263" t="s">
        <v>576</v>
      </c>
      <c r="M54" s="245">
        <v>7901</v>
      </c>
      <c r="N54" s="245">
        <v>371011</v>
      </c>
      <c r="O54" s="266"/>
      <c r="P54" s="245">
        <v>1</v>
      </c>
      <c r="Q54" s="267" t="s">
        <v>26</v>
      </c>
      <c r="R54" s="268">
        <v>377</v>
      </c>
      <c r="S54" s="269">
        <f>Table42[[#This Row],[VALUE]]*Table42[[#This Row],[QTD]]</f>
        <v>377</v>
      </c>
    </row>
    <row r="55" spans="1:19" s="222" customFormat="1" ht="50.1" customHeight="1" x14ac:dyDescent="0.4">
      <c r="A55" s="238"/>
      <c r="B55" s="237"/>
      <c r="C55" s="262">
        <v>45713</v>
      </c>
      <c r="D55" s="263" t="s">
        <v>285</v>
      </c>
      <c r="E55" s="263" t="s">
        <v>74</v>
      </c>
      <c r="F55" s="264" t="s">
        <v>600</v>
      </c>
      <c r="G55" s="263" t="s">
        <v>287</v>
      </c>
      <c r="H55" s="245" t="s">
        <v>288</v>
      </c>
      <c r="I55" s="263" t="s">
        <v>289</v>
      </c>
      <c r="J55" s="271" t="s">
        <v>686</v>
      </c>
      <c r="K55" s="265"/>
      <c r="L55" s="263" t="s">
        <v>576</v>
      </c>
      <c r="M55" s="245">
        <v>7901</v>
      </c>
      <c r="N55" s="245">
        <v>371011</v>
      </c>
      <c r="O55" s="266"/>
      <c r="P55" s="245">
        <v>10</v>
      </c>
      <c r="Q55" s="267" t="s">
        <v>26</v>
      </c>
      <c r="R55" s="268">
        <v>79</v>
      </c>
      <c r="S55" s="269">
        <f>Table42[[#This Row],[VALUE]]*Table42[[#This Row],[QTD]]</f>
        <v>790</v>
      </c>
    </row>
    <row r="56" spans="1:19" s="222" customFormat="1" ht="50.1" customHeight="1" x14ac:dyDescent="0.4">
      <c r="A56" s="238"/>
      <c r="B56" s="237"/>
      <c r="C56" s="262">
        <v>45713</v>
      </c>
      <c r="D56" s="263" t="s">
        <v>285</v>
      </c>
      <c r="E56" s="263" t="s">
        <v>74</v>
      </c>
      <c r="F56" s="264" t="s">
        <v>600</v>
      </c>
      <c r="G56" s="263" t="s">
        <v>287</v>
      </c>
      <c r="H56" s="245" t="s">
        <v>288</v>
      </c>
      <c r="I56" s="263" t="s">
        <v>289</v>
      </c>
      <c r="J56" s="271" t="s">
        <v>687</v>
      </c>
      <c r="K56" s="265"/>
      <c r="L56" s="263" t="s">
        <v>576</v>
      </c>
      <c r="M56" s="245">
        <v>7901</v>
      </c>
      <c r="N56" s="245">
        <v>371011</v>
      </c>
      <c r="O56" s="266"/>
      <c r="P56" s="245">
        <v>4</v>
      </c>
      <c r="Q56" s="267" t="s">
        <v>26</v>
      </c>
      <c r="R56" s="268">
        <v>88.48</v>
      </c>
      <c r="S56" s="269">
        <f>Table42[[#This Row],[VALUE]]*Table42[[#This Row],[QTD]]</f>
        <v>353.92</v>
      </c>
    </row>
    <row r="57" spans="1:19" s="222" customFormat="1" ht="50.1" customHeight="1" x14ac:dyDescent="0.4">
      <c r="A57" s="238"/>
      <c r="B57" s="237"/>
      <c r="C57" s="262">
        <v>45713</v>
      </c>
      <c r="D57" s="263" t="s">
        <v>285</v>
      </c>
      <c r="E57" s="263" t="s">
        <v>74</v>
      </c>
      <c r="F57" s="264" t="s">
        <v>600</v>
      </c>
      <c r="G57" s="263" t="s">
        <v>287</v>
      </c>
      <c r="H57" s="245" t="s">
        <v>288</v>
      </c>
      <c r="I57" s="263" t="s">
        <v>289</v>
      </c>
      <c r="J57" s="271" t="s">
        <v>681</v>
      </c>
      <c r="K57" s="265"/>
      <c r="L57" s="263" t="s">
        <v>576</v>
      </c>
      <c r="M57" s="245">
        <v>7901</v>
      </c>
      <c r="N57" s="245">
        <v>371011</v>
      </c>
      <c r="O57" s="266"/>
      <c r="P57" s="245">
        <v>2</v>
      </c>
      <c r="Q57" s="267" t="s">
        <v>26</v>
      </c>
      <c r="R57" s="268">
        <v>115.04</v>
      </c>
      <c r="S57" s="269">
        <f>Table42[[#This Row],[VALUE]]*Table42[[#This Row],[QTD]]</f>
        <v>230.08</v>
      </c>
    </row>
    <row r="58" spans="1:19" s="222" customFormat="1" ht="50.1" customHeight="1" x14ac:dyDescent="0.4">
      <c r="A58" s="238"/>
      <c r="B58" s="237"/>
      <c r="C58" s="262">
        <v>45713</v>
      </c>
      <c r="D58" s="263" t="s">
        <v>285</v>
      </c>
      <c r="E58" s="263" t="s">
        <v>74</v>
      </c>
      <c r="F58" s="264" t="s">
        <v>600</v>
      </c>
      <c r="G58" s="263" t="s">
        <v>287</v>
      </c>
      <c r="H58" s="245" t="s">
        <v>288</v>
      </c>
      <c r="I58" s="263" t="s">
        <v>289</v>
      </c>
      <c r="J58" s="271" t="s">
        <v>682</v>
      </c>
      <c r="K58" s="265"/>
      <c r="L58" s="263" t="s">
        <v>576</v>
      </c>
      <c r="M58" s="245">
        <v>7901</v>
      </c>
      <c r="N58" s="245">
        <v>371011</v>
      </c>
      <c r="O58" s="266"/>
      <c r="P58" s="245">
        <v>2</v>
      </c>
      <c r="Q58" s="267" t="s">
        <v>26</v>
      </c>
      <c r="R58" s="268">
        <v>89.44</v>
      </c>
      <c r="S58" s="269">
        <f>Table42[[#This Row],[VALUE]]*Table42[[#This Row],[QTD]]</f>
        <v>178.88</v>
      </c>
    </row>
    <row r="59" spans="1:19" s="222" customFormat="1" ht="50.1" customHeight="1" x14ac:dyDescent="0.4">
      <c r="A59" s="238"/>
      <c r="B59" s="237"/>
      <c r="C59" s="262">
        <v>45713</v>
      </c>
      <c r="D59" s="263" t="s">
        <v>285</v>
      </c>
      <c r="E59" s="263" t="s">
        <v>74</v>
      </c>
      <c r="F59" s="264" t="s">
        <v>600</v>
      </c>
      <c r="G59" s="263" t="s">
        <v>287</v>
      </c>
      <c r="H59" s="245" t="s">
        <v>288</v>
      </c>
      <c r="I59" s="263" t="s">
        <v>289</v>
      </c>
      <c r="J59" s="271" t="s">
        <v>688</v>
      </c>
      <c r="K59" s="265"/>
      <c r="L59" s="263" t="s">
        <v>576</v>
      </c>
      <c r="M59" s="245">
        <v>7901</v>
      </c>
      <c r="N59" s="245">
        <v>371011</v>
      </c>
      <c r="O59" s="266"/>
      <c r="P59" s="245">
        <v>1</v>
      </c>
      <c r="Q59" s="267" t="s">
        <v>26</v>
      </c>
      <c r="R59" s="268">
        <v>14</v>
      </c>
      <c r="S59" s="269">
        <f>Table42[[#This Row],[VALUE]]*Table42[[#This Row],[QTD]]</f>
        <v>14</v>
      </c>
    </row>
    <row r="60" spans="1:19" s="222" customFormat="1" ht="50.1" customHeight="1" x14ac:dyDescent="0.4">
      <c r="A60" s="238"/>
      <c r="B60" s="237"/>
      <c r="C60" s="262">
        <v>45713</v>
      </c>
      <c r="D60" s="263" t="s">
        <v>285</v>
      </c>
      <c r="E60" s="263" t="s">
        <v>74</v>
      </c>
      <c r="F60" s="264" t="s">
        <v>600</v>
      </c>
      <c r="G60" s="263" t="s">
        <v>287</v>
      </c>
      <c r="H60" s="245" t="s">
        <v>288</v>
      </c>
      <c r="I60" s="263" t="s">
        <v>289</v>
      </c>
      <c r="J60" s="271" t="s">
        <v>689</v>
      </c>
      <c r="K60" s="265"/>
      <c r="L60" s="263" t="s">
        <v>576</v>
      </c>
      <c r="M60" s="245">
        <v>7901</v>
      </c>
      <c r="N60" s="245">
        <v>371011</v>
      </c>
      <c r="O60" s="266"/>
      <c r="P60" s="245">
        <v>1</v>
      </c>
      <c r="Q60" s="267" t="s">
        <v>26</v>
      </c>
      <c r="R60" s="268">
        <v>4.5</v>
      </c>
      <c r="S60" s="269">
        <f>Table42[[#This Row],[VALUE]]*Table42[[#This Row],[QTD]]</f>
        <v>4.5</v>
      </c>
    </row>
    <row r="61" spans="1:19" s="222" customFormat="1" ht="50.1" customHeight="1" x14ac:dyDescent="0.4">
      <c r="A61" s="238"/>
      <c r="B61" s="237"/>
      <c r="C61" s="262">
        <v>45713</v>
      </c>
      <c r="D61" s="263" t="s">
        <v>285</v>
      </c>
      <c r="E61" s="263" t="s">
        <v>74</v>
      </c>
      <c r="F61" s="264" t="s">
        <v>600</v>
      </c>
      <c r="G61" s="263" t="s">
        <v>287</v>
      </c>
      <c r="H61" s="245" t="s">
        <v>288</v>
      </c>
      <c r="I61" s="263" t="s">
        <v>289</v>
      </c>
      <c r="J61" s="271" t="s">
        <v>690</v>
      </c>
      <c r="K61" s="265"/>
      <c r="L61" s="263" t="s">
        <v>576</v>
      </c>
      <c r="M61" s="245">
        <v>7901</v>
      </c>
      <c r="N61" s="245">
        <v>371011</v>
      </c>
      <c r="O61" s="266"/>
      <c r="P61" s="245">
        <v>1</v>
      </c>
      <c r="Q61" s="267" t="s">
        <v>26</v>
      </c>
      <c r="R61" s="268">
        <v>13.42</v>
      </c>
      <c r="S61" s="269">
        <f>Table42[[#This Row],[VALUE]]*Table42[[#This Row],[QTD]]</f>
        <v>13.42</v>
      </c>
    </row>
    <row r="62" spans="1:19" s="222" customFormat="1" ht="50.1" customHeight="1" x14ac:dyDescent="0.4">
      <c r="A62" s="238"/>
      <c r="B62" s="237"/>
      <c r="C62" s="262">
        <v>45713</v>
      </c>
      <c r="D62" s="263" t="s">
        <v>285</v>
      </c>
      <c r="E62" s="263" t="s">
        <v>74</v>
      </c>
      <c r="F62" s="264" t="s">
        <v>600</v>
      </c>
      <c r="G62" s="263" t="s">
        <v>287</v>
      </c>
      <c r="H62" s="245" t="s">
        <v>288</v>
      </c>
      <c r="I62" s="263" t="s">
        <v>289</v>
      </c>
      <c r="J62" s="271" t="s">
        <v>691</v>
      </c>
      <c r="K62" s="265"/>
      <c r="L62" s="263" t="s">
        <v>576</v>
      </c>
      <c r="M62" s="245">
        <v>7901</v>
      </c>
      <c r="N62" s="245">
        <v>371011</v>
      </c>
      <c r="O62" s="266"/>
      <c r="P62" s="245">
        <v>1</v>
      </c>
      <c r="Q62" s="267" t="s">
        <v>26</v>
      </c>
      <c r="R62" s="268">
        <v>30.24</v>
      </c>
      <c r="S62" s="269">
        <f>Table42[[#This Row],[VALUE]]*Table42[[#This Row],[QTD]]</f>
        <v>30.24</v>
      </c>
    </row>
    <row r="63" spans="1:19" s="222" customFormat="1" ht="50.1" customHeight="1" x14ac:dyDescent="0.4">
      <c r="A63" s="238"/>
      <c r="B63" s="237"/>
      <c r="C63" s="262">
        <v>45713</v>
      </c>
      <c r="D63" s="263" t="s">
        <v>285</v>
      </c>
      <c r="E63" s="263" t="s">
        <v>74</v>
      </c>
      <c r="F63" s="264" t="s">
        <v>600</v>
      </c>
      <c r="G63" s="263" t="s">
        <v>287</v>
      </c>
      <c r="H63" s="245" t="s">
        <v>288</v>
      </c>
      <c r="I63" s="263" t="s">
        <v>289</v>
      </c>
      <c r="J63" s="271" t="s">
        <v>692</v>
      </c>
      <c r="K63" s="265"/>
      <c r="L63" s="263" t="s">
        <v>576</v>
      </c>
      <c r="M63" s="245">
        <v>7901</v>
      </c>
      <c r="N63" s="245">
        <v>371011</v>
      </c>
      <c r="O63" s="266"/>
      <c r="P63" s="245">
        <v>1</v>
      </c>
      <c r="Q63" s="267" t="s">
        <v>26</v>
      </c>
      <c r="R63" s="268">
        <v>15.96</v>
      </c>
      <c r="S63" s="269">
        <f>Table42[[#This Row],[VALUE]]*Table42[[#This Row],[QTD]]</f>
        <v>15.96</v>
      </c>
    </row>
    <row r="64" spans="1:19" s="222" customFormat="1" ht="50.1" customHeight="1" x14ac:dyDescent="0.4">
      <c r="A64" s="238"/>
      <c r="B64" s="237"/>
      <c r="C64" s="262">
        <v>45713</v>
      </c>
      <c r="D64" s="263" t="s">
        <v>285</v>
      </c>
      <c r="E64" s="263" t="s">
        <v>74</v>
      </c>
      <c r="F64" s="264" t="s">
        <v>600</v>
      </c>
      <c r="G64" s="263" t="s">
        <v>287</v>
      </c>
      <c r="H64" s="245" t="s">
        <v>288</v>
      </c>
      <c r="I64" s="263" t="s">
        <v>289</v>
      </c>
      <c r="J64" s="271" t="s">
        <v>693</v>
      </c>
      <c r="K64" s="265"/>
      <c r="L64" s="263" t="s">
        <v>576</v>
      </c>
      <c r="M64" s="245">
        <v>7901</v>
      </c>
      <c r="N64" s="245">
        <v>371011</v>
      </c>
      <c r="O64" s="266"/>
      <c r="P64" s="245">
        <v>1</v>
      </c>
      <c r="Q64" s="267" t="s">
        <v>26</v>
      </c>
      <c r="R64" s="268">
        <v>37.770000000000003</v>
      </c>
      <c r="S64" s="269">
        <f>Table42[[#This Row],[VALUE]]*Table42[[#This Row],[QTD]]</f>
        <v>37.770000000000003</v>
      </c>
    </row>
    <row r="65" spans="1:19" s="222" customFormat="1" ht="50.1" customHeight="1" x14ac:dyDescent="0.4">
      <c r="A65" s="238"/>
      <c r="B65" s="237"/>
      <c r="C65" s="262">
        <v>45713</v>
      </c>
      <c r="D65" s="263" t="s">
        <v>285</v>
      </c>
      <c r="E65" s="263" t="s">
        <v>647</v>
      </c>
      <c r="F65" s="264" t="s">
        <v>696</v>
      </c>
      <c r="G65" s="263" t="s">
        <v>287</v>
      </c>
      <c r="H65" s="245" t="s">
        <v>288</v>
      </c>
      <c r="I65" s="263" t="s">
        <v>289</v>
      </c>
      <c r="J65" s="271" t="s">
        <v>694</v>
      </c>
      <c r="K65" s="265"/>
      <c r="L65" s="263" t="s">
        <v>576</v>
      </c>
      <c r="M65" s="245">
        <v>7901</v>
      </c>
      <c r="N65" s="245">
        <v>371011</v>
      </c>
      <c r="O65" s="266"/>
      <c r="P65" s="245">
        <v>33</v>
      </c>
      <c r="Q65" s="267" t="s">
        <v>26</v>
      </c>
      <c r="R65" s="268">
        <v>172.8</v>
      </c>
      <c r="S65" s="269">
        <f>Table42[[#This Row],[VALUE]]*Table42[[#This Row],[QTD]]</f>
        <v>5702.4000000000005</v>
      </c>
    </row>
    <row r="66" spans="1:19" s="222" customFormat="1" ht="50.1" customHeight="1" x14ac:dyDescent="0.4">
      <c r="A66" s="238"/>
      <c r="B66" s="237"/>
      <c r="C66" s="262">
        <v>45713</v>
      </c>
      <c r="D66" s="263" t="s">
        <v>285</v>
      </c>
      <c r="E66" s="263" t="s">
        <v>647</v>
      </c>
      <c r="F66" s="264" t="s">
        <v>696</v>
      </c>
      <c r="G66" s="263" t="s">
        <v>287</v>
      </c>
      <c r="H66" s="245" t="s">
        <v>288</v>
      </c>
      <c r="I66" s="263" t="s">
        <v>289</v>
      </c>
      <c r="J66" s="271" t="s">
        <v>695</v>
      </c>
      <c r="K66" s="265"/>
      <c r="L66" s="263" t="s">
        <v>576</v>
      </c>
      <c r="M66" s="245">
        <v>7901</v>
      </c>
      <c r="N66" s="245">
        <v>371011</v>
      </c>
      <c r="O66" s="266"/>
      <c r="P66" s="245">
        <v>28</v>
      </c>
      <c r="Q66" s="267" t="s">
        <v>26</v>
      </c>
      <c r="R66" s="268">
        <v>228</v>
      </c>
      <c r="S66" s="269">
        <f>Table42[[#This Row],[VALUE]]*Table42[[#This Row],[QTD]]</f>
        <v>6384</v>
      </c>
    </row>
    <row r="67" spans="1:19" s="222" customFormat="1" ht="50.1" customHeight="1" x14ac:dyDescent="0.4">
      <c r="A67" s="238"/>
      <c r="B67" s="237"/>
      <c r="C67" s="262">
        <v>45713</v>
      </c>
      <c r="D67" s="263" t="s">
        <v>285</v>
      </c>
      <c r="E67" s="263" t="s">
        <v>647</v>
      </c>
      <c r="F67" s="264" t="s">
        <v>696</v>
      </c>
      <c r="G67" s="263" t="s">
        <v>287</v>
      </c>
      <c r="H67" s="245" t="s">
        <v>288</v>
      </c>
      <c r="I67" s="263" t="s">
        <v>289</v>
      </c>
      <c r="J67" s="271" t="s">
        <v>697</v>
      </c>
      <c r="K67" s="265"/>
      <c r="L67" s="263" t="s">
        <v>576</v>
      </c>
      <c r="M67" s="245">
        <v>7901</v>
      </c>
      <c r="N67" s="245">
        <v>371011</v>
      </c>
      <c r="O67" s="266"/>
      <c r="P67" s="245">
        <v>1</v>
      </c>
      <c r="Q67" s="267" t="s">
        <v>26</v>
      </c>
      <c r="R67" s="272">
        <v>4197.8999999999996</v>
      </c>
      <c r="S67" s="269">
        <f>Table42[[#This Row],[VALUE]]*Table42[[#This Row],[QTD]]</f>
        <v>4197.8999999999996</v>
      </c>
    </row>
    <row r="68" spans="1:19" ht="50.1" customHeight="1" x14ac:dyDescent="0.4">
      <c r="B68" s="54"/>
      <c r="C68" s="247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73"/>
      <c r="P68" s="242"/>
      <c r="Q68" s="242"/>
      <c r="R68" s="242"/>
      <c r="S68" s="274">
        <f>SUBTOTAL(109,Table42[TOTAL])</f>
        <v>32974.450000000004</v>
      </c>
    </row>
    <row r="69" spans="1:19" ht="18" customHeight="1" x14ac:dyDescent="0.35">
      <c r="A69" s="145"/>
      <c r="B69" s="146"/>
      <c r="C69" s="242"/>
      <c r="D69" s="242"/>
      <c r="E69" s="248"/>
      <c r="F69" s="248"/>
      <c r="G69" s="246"/>
      <c r="H69" s="243"/>
      <c r="I69" s="245"/>
      <c r="J69" s="242"/>
      <c r="K69" s="249"/>
      <c r="L69" s="250"/>
      <c r="M69" s="244"/>
      <c r="N69" s="257"/>
      <c r="O69" s="257"/>
      <c r="P69" s="257"/>
      <c r="Q69" s="257"/>
      <c r="R69" s="257"/>
      <c r="S69" s="257"/>
    </row>
    <row r="70" spans="1:19" ht="18" customHeight="1" x14ac:dyDescent="0.35">
      <c r="A70" s="145"/>
      <c r="B70" s="146"/>
      <c r="C70" s="242"/>
      <c r="D70" s="242"/>
      <c r="E70" s="248"/>
      <c r="F70" s="248"/>
      <c r="G70" s="246"/>
      <c r="H70" s="243"/>
      <c r="I70" s="245"/>
      <c r="J70" s="242"/>
      <c r="K70" s="249"/>
      <c r="L70" s="250"/>
      <c r="M70" s="244"/>
      <c r="N70" s="245"/>
      <c r="O70" s="245"/>
      <c r="P70" s="245"/>
      <c r="Q70" s="245"/>
      <c r="R70" s="245"/>
      <c r="S70" s="245"/>
    </row>
    <row r="71" spans="1:19" ht="18" customHeight="1" x14ac:dyDescent="0.35">
      <c r="A71" s="145"/>
      <c r="B71" s="146"/>
      <c r="C71" s="242"/>
      <c r="D71" s="242"/>
      <c r="E71" s="248"/>
      <c r="F71" s="248"/>
      <c r="G71" s="246"/>
      <c r="H71" s="243"/>
      <c r="I71" s="245"/>
      <c r="J71" s="242"/>
      <c r="K71" s="249"/>
      <c r="L71" s="250"/>
      <c r="M71" s="244"/>
      <c r="N71" s="245"/>
      <c r="O71" s="245"/>
      <c r="P71" s="245"/>
      <c r="Q71" s="245"/>
      <c r="R71" s="245"/>
      <c r="S71" s="245"/>
    </row>
    <row r="72" spans="1:19" ht="18" customHeight="1" x14ac:dyDescent="0.55000000000000004">
      <c r="A72" s="290"/>
      <c r="B72" s="291"/>
      <c r="C72" s="290"/>
      <c r="D72" s="290"/>
      <c r="E72" s="292"/>
      <c r="F72" s="292"/>
      <c r="G72" s="293"/>
      <c r="H72" s="294"/>
      <c r="I72" s="295"/>
      <c r="J72" s="290"/>
      <c r="K72" s="296"/>
      <c r="L72" s="297"/>
      <c r="M72" s="298"/>
      <c r="N72" s="295"/>
      <c r="O72" s="295"/>
      <c r="P72" s="295"/>
      <c r="Q72" s="295"/>
      <c r="R72" s="295"/>
      <c r="S72" s="295"/>
    </row>
    <row r="73" spans="1:19" ht="18" customHeight="1" x14ac:dyDescent="0.55000000000000004">
      <c r="A73" s="290"/>
      <c r="B73" s="291"/>
      <c r="C73" s="290"/>
      <c r="D73" s="290"/>
      <c r="E73" s="292"/>
      <c r="F73" s="292"/>
      <c r="G73" s="293"/>
      <c r="H73" s="294"/>
      <c r="I73" s="295"/>
      <c r="J73" s="290"/>
      <c r="K73" s="296"/>
      <c r="L73" s="297"/>
      <c r="M73" s="298"/>
      <c r="N73" s="295"/>
      <c r="O73" s="295"/>
      <c r="P73" s="295"/>
      <c r="Q73" s="295"/>
      <c r="R73" s="295"/>
      <c r="S73" s="295"/>
    </row>
    <row r="74" spans="1:19" ht="18" customHeight="1" x14ac:dyDescent="0.55000000000000004">
      <c r="A74" s="290"/>
      <c r="B74" s="291"/>
      <c r="C74" s="290"/>
      <c r="D74" s="290"/>
      <c r="E74" s="292"/>
      <c r="F74" s="292"/>
      <c r="G74" s="293"/>
      <c r="H74" s="294"/>
      <c r="I74" s="295"/>
      <c r="J74" s="290"/>
      <c r="K74" s="296"/>
      <c r="L74" s="297"/>
      <c r="M74" s="298"/>
      <c r="N74" s="295"/>
      <c r="O74" s="295"/>
      <c r="P74" s="295"/>
      <c r="Q74" s="295"/>
      <c r="R74" s="295"/>
      <c r="S74" s="295"/>
    </row>
    <row r="75" spans="1:19" ht="18" customHeight="1" thickBot="1" x14ac:dyDescent="0.6">
      <c r="A75" s="290"/>
      <c r="B75" s="291"/>
      <c r="C75" s="290"/>
      <c r="D75" s="299"/>
      <c r="E75" s="300"/>
      <c r="F75" s="300"/>
      <c r="G75" s="300"/>
      <c r="H75" s="294"/>
      <c r="I75" s="295"/>
      <c r="J75" s="301"/>
      <c r="K75" s="290"/>
      <c r="L75" s="298"/>
      <c r="M75" s="302"/>
      <c r="N75" s="302"/>
      <c r="O75" s="302"/>
      <c r="P75" s="302"/>
      <c r="Q75" s="302"/>
      <c r="R75" s="302"/>
      <c r="S75" s="302"/>
    </row>
    <row r="76" spans="1:19" ht="36" x14ac:dyDescent="0.55000000000000004">
      <c r="A76" s="290"/>
      <c r="B76" s="291"/>
      <c r="C76" s="290"/>
      <c r="D76" s="299"/>
      <c r="E76" s="303" t="s">
        <v>645</v>
      </c>
      <c r="F76" s="303"/>
      <c r="G76" s="303"/>
      <c r="H76" s="293"/>
      <c r="I76" s="295"/>
      <c r="J76" s="290" t="s">
        <v>649</v>
      </c>
      <c r="K76" s="290"/>
      <c r="L76" s="298"/>
      <c r="M76" s="303" t="s">
        <v>592</v>
      </c>
      <c r="N76" s="303"/>
      <c r="O76" s="303"/>
      <c r="P76" s="303"/>
      <c r="Q76" s="303"/>
      <c r="R76" s="303"/>
      <c r="S76" s="303"/>
    </row>
    <row r="77" spans="1:19" ht="18" customHeight="1" x14ac:dyDescent="0.55000000000000004">
      <c r="A77" s="290"/>
      <c r="B77" s="291"/>
      <c r="C77" s="290"/>
      <c r="D77" s="299"/>
      <c r="E77" s="290"/>
      <c r="F77" s="295"/>
      <c r="G77" s="295"/>
      <c r="H77" s="294"/>
      <c r="I77" s="295"/>
      <c r="J77" s="290"/>
      <c r="K77" s="290"/>
      <c r="L77" s="298"/>
      <c r="M77" s="295"/>
      <c r="N77" s="304"/>
      <c r="O77" s="304"/>
      <c r="P77" s="304"/>
      <c r="Q77" s="304"/>
      <c r="R77" s="304"/>
      <c r="S77" s="304"/>
    </row>
    <row r="78" spans="1:19" ht="18" customHeight="1" x14ac:dyDescent="0.55000000000000004">
      <c r="A78" s="290"/>
      <c r="B78" s="291"/>
      <c r="C78" s="290"/>
      <c r="D78" s="299"/>
      <c r="E78" s="290"/>
      <c r="F78" s="295"/>
      <c r="G78" s="295"/>
      <c r="H78" s="294"/>
      <c r="I78" s="295"/>
      <c r="J78" s="290"/>
      <c r="K78" s="290"/>
      <c r="L78" s="298"/>
      <c r="M78" s="295"/>
      <c r="N78" s="305"/>
      <c r="O78" s="305"/>
      <c r="P78" s="305"/>
      <c r="Q78" s="305"/>
      <c r="R78" s="305"/>
      <c r="S78" s="305"/>
    </row>
    <row r="79" spans="1:19" ht="18" customHeight="1" x14ac:dyDescent="0.55000000000000004">
      <c r="A79" s="290"/>
      <c r="B79" s="291"/>
      <c r="C79" s="290"/>
      <c r="D79" s="299"/>
      <c r="E79" s="290"/>
      <c r="F79" s="295"/>
      <c r="G79" s="295"/>
      <c r="H79" s="294"/>
      <c r="I79" s="295"/>
      <c r="J79" s="290"/>
      <c r="K79" s="290"/>
      <c r="L79" s="298"/>
      <c r="M79" s="295"/>
      <c r="N79" s="305"/>
      <c r="O79" s="305"/>
      <c r="P79" s="305"/>
      <c r="Q79" s="305"/>
      <c r="R79" s="305"/>
      <c r="S79" s="305"/>
    </row>
    <row r="80" spans="1:19" ht="18" customHeight="1" x14ac:dyDescent="0.55000000000000004">
      <c r="A80" s="290"/>
      <c r="B80" s="291"/>
      <c r="C80" s="290"/>
      <c r="D80" s="299"/>
      <c r="E80" s="290"/>
      <c r="F80" s="295"/>
      <c r="G80" s="295"/>
      <c r="H80" s="294"/>
      <c r="I80" s="295"/>
      <c r="J80" s="290"/>
      <c r="K80" s="290"/>
      <c r="L80" s="298"/>
      <c r="M80" s="295"/>
      <c r="N80" s="305"/>
      <c r="O80" s="305"/>
      <c r="P80" s="305"/>
      <c r="Q80" s="305"/>
      <c r="R80" s="305"/>
      <c r="S80" s="305"/>
    </row>
    <row r="81" spans="1:21" ht="18" customHeight="1" x14ac:dyDescent="0.55000000000000004">
      <c r="A81" s="290"/>
      <c r="B81" s="291"/>
      <c r="C81" s="290"/>
      <c r="D81" s="299"/>
      <c r="E81" s="290"/>
      <c r="F81" s="295"/>
      <c r="G81" s="292"/>
      <c r="H81" s="293"/>
      <c r="I81" s="295"/>
      <c r="J81" s="290"/>
      <c r="K81" s="290"/>
      <c r="L81" s="298"/>
      <c r="M81" s="295"/>
      <c r="N81" s="306"/>
      <c r="O81" s="306"/>
      <c r="P81" s="306"/>
      <c r="Q81" s="306"/>
      <c r="R81" s="306"/>
      <c r="S81" s="306"/>
    </row>
    <row r="82" spans="1:21" ht="18" customHeight="1" thickBot="1" x14ac:dyDescent="0.6">
      <c r="A82" s="290"/>
      <c r="B82" s="291"/>
      <c r="C82" s="290"/>
      <c r="D82" s="299"/>
      <c r="E82" s="301"/>
      <c r="F82" s="302"/>
      <c r="G82" s="307"/>
      <c r="H82" s="293"/>
      <c r="I82" s="295"/>
      <c r="J82" s="301"/>
      <c r="K82" s="290"/>
      <c r="L82" s="298"/>
      <c r="M82" s="302"/>
      <c r="N82" s="302"/>
      <c r="O82" s="302"/>
      <c r="P82" s="302"/>
      <c r="Q82" s="302"/>
      <c r="R82" s="302"/>
      <c r="S82" s="302"/>
    </row>
    <row r="83" spans="1:21" ht="36" x14ac:dyDescent="0.55000000000000004">
      <c r="A83" s="290"/>
      <c r="B83" s="291"/>
      <c r="C83" s="290"/>
      <c r="D83" s="299"/>
      <c r="E83" s="303" t="s">
        <v>600</v>
      </c>
      <c r="F83" s="303"/>
      <c r="G83" s="303"/>
      <c r="H83" s="293"/>
      <c r="I83" s="295"/>
      <c r="J83" s="290" t="s">
        <v>648</v>
      </c>
      <c r="K83" s="290"/>
      <c r="L83" s="298"/>
      <c r="M83" s="308" t="s">
        <v>557</v>
      </c>
      <c r="N83" s="308"/>
      <c r="O83" s="308"/>
      <c r="P83" s="308"/>
      <c r="Q83" s="308"/>
      <c r="R83" s="308"/>
      <c r="S83" s="308"/>
    </row>
    <row r="84" spans="1:21" ht="18" customHeight="1" x14ac:dyDescent="0.55000000000000004">
      <c r="A84" s="309"/>
      <c r="B84" s="310"/>
      <c r="C84" s="311"/>
      <c r="D84" s="299"/>
      <c r="E84" s="290"/>
      <c r="F84" s="299"/>
      <c r="G84" s="299"/>
      <c r="H84" s="299"/>
      <c r="I84" s="290"/>
      <c r="J84" s="290"/>
      <c r="K84" s="290"/>
      <c r="L84" s="290"/>
      <c r="M84" s="290"/>
      <c r="N84" s="306"/>
      <c r="O84" s="306"/>
      <c r="P84" s="306"/>
      <c r="Q84" s="306"/>
      <c r="R84" s="306"/>
      <c r="S84" s="306"/>
    </row>
    <row r="85" spans="1:21" ht="18" customHeight="1" x14ac:dyDescent="0.55000000000000004">
      <c r="A85" s="309"/>
      <c r="B85" s="310"/>
      <c r="C85" s="311"/>
      <c r="D85" s="299"/>
      <c r="E85" s="290"/>
      <c r="F85" s="299"/>
      <c r="G85" s="299"/>
      <c r="H85" s="299"/>
      <c r="I85" s="290"/>
      <c r="J85" s="290"/>
      <c r="K85" s="290"/>
      <c r="L85" s="290"/>
      <c r="M85" s="290"/>
      <c r="N85" s="295"/>
      <c r="O85" s="295"/>
      <c r="P85" s="295"/>
      <c r="Q85" s="295"/>
      <c r="R85" s="295"/>
      <c r="S85" s="295"/>
    </row>
    <row r="86" spans="1:21" ht="18" customHeight="1" x14ac:dyDescent="0.55000000000000004">
      <c r="A86" s="309"/>
      <c r="B86" s="310"/>
      <c r="C86" s="311"/>
      <c r="D86" s="299"/>
      <c r="E86" s="290"/>
      <c r="F86" s="299"/>
      <c r="G86" s="299"/>
      <c r="H86" s="299"/>
      <c r="I86" s="290"/>
      <c r="J86" s="290"/>
      <c r="K86" s="290"/>
      <c r="L86" s="290"/>
      <c r="M86" s="290"/>
      <c r="N86" s="295"/>
      <c r="O86" s="295"/>
      <c r="P86" s="295"/>
      <c r="Q86" s="295"/>
      <c r="R86" s="295"/>
      <c r="S86" s="295"/>
    </row>
    <row r="87" spans="1:21" ht="18" customHeight="1" x14ac:dyDescent="0.55000000000000004">
      <c r="A87" s="309"/>
      <c r="B87" s="310"/>
      <c r="C87" s="311"/>
      <c r="D87" s="299"/>
      <c r="E87" s="290"/>
      <c r="F87" s="299"/>
      <c r="G87" s="299"/>
      <c r="H87" s="299"/>
      <c r="I87" s="290"/>
      <c r="J87" s="290"/>
      <c r="K87" s="290"/>
      <c r="L87" s="290"/>
      <c r="M87" s="290"/>
      <c r="N87" s="295"/>
      <c r="O87" s="295"/>
      <c r="P87" s="295"/>
      <c r="Q87" s="295"/>
      <c r="R87" s="295"/>
      <c r="S87" s="295"/>
    </row>
    <row r="88" spans="1:21" ht="18" customHeight="1" x14ac:dyDescent="0.55000000000000004">
      <c r="A88" s="309"/>
      <c r="B88" s="310"/>
      <c r="C88" s="311"/>
      <c r="D88" s="299"/>
      <c r="E88" s="290"/>
      <c r="F88" s="299"/>
      <c r="G88" s="299"/>
      <c r="H88" s="299"/>
      <c r="I88" s="290"/>
      <c r="J88" s="290"/>
      <c r="K88" s="290"/>
      <c r="L88" s="290"/>
      <c r="M88" s="290"/>
      <c r="N88" s="299"/>
      <c r="O88" s="299"/>
      <c r="P88" s="299"/>
      <c r="Q88" s="299"/>
      <c r="R88" s="299"/>
      <c r="S88" s="312"/>
    </row>
    <row r="89" spans="1:21" ht="18" customHeight="1" thickBot="1" x14ac:dyDescent="0.6">
      <c r="A89" s="309"/>
      <c r="B89" s="310"/>
      <c r="C89" s="311"/>
      <c r="D89" s="299"/>
      <c r="E89" s="301"/>
      <c r="F89" s="301"/>
      <c r="G89" s="301"/>
      <c r="H89" s="299"/>
      <c r="I89" s="290"/>
      <c r="J89" s="301"/>
      <c r="K89" s="290"/>
      <c r="L89" s="290"/>
      <c r="M89" s="300"/>
      <c r="N89" s="300"/>
      <c r="O89" s="300"/>
      <c r="P89" s="300"/>
      <c r="Q89" s="300"/>
      <c r="R89" s="300"/>
      <c r="S89" s="300"/>
    </row>
    <row r="90" spans="1:21" ht="36" x14ac:dyDescent="0.55000000000000004">
      <c r="A90" s="309"/>
      <c r="B90" s="310"/>
      <c r="C90" s="311"/>
      <c r="D90" s="290"/>
      <c r="E90" s="303" t="s">
        <v>646</v>
      </c>
      <c r="F90" s="303"/>
      <c r="G90" s="303"/>
      <c r="H90" s="290"/>
      <c r="I90" s="290"/>
      <c r="J90" s="299" t="s">
        <v>464</v>
      </c>
      <c r="K90" s="290"/>
      <c r="L90" s="290"/>
      <c r="M90" s="303" t="s">
        <v>698</v>
      </c>
      <c r="N90" s="303"/>
      <c r="O90" s="303"/>
      <c r="P90" s="303"/>
      <c r="Q90" s="303"/>
      <c r="R90" s="303"/>
      <c r="S90" s="303"/>
    </row>
    <row r="91" spans="1:21" ht="18" customHeight="1" x14ac:dyDescent="0.55000000000000004">
      <c r="A91" s="309"/>
      <c r="B91" s="310"/>
      <c r="C91" s="311"/>
      <c r="D91" s="290"/>
      <c r="E91" s="290"/>
      <c r="F91" s="290"/>
      <c r="G91" s="290"/>
      <c r="H91" s="290"/>
      <c r="I91" s="290"/>
      <c r="J91" s="290"/>
      <c r="K91" s="290"/>
      <c r="L91" s="290"/>
      <c r="M91" s="299"/>
      <c r="N91" s="299"/>
      <c r="O91" s="299"/>
      <c r="P91" s="299"/>
      <c r="Q91" s="299"/>
      <c r="R91" s="299"/>
      <c r="S91" s="312"/>
    </row>
    <row r="92" spans="1:21" ht="18" customHeight="1" x14ac:dyDescent="0.55000000000000004">
      <c r="A92" s="309"/>
      <c r="B92" s="310"/>
      <c r="C92" s="311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9"/>
      <c r="O92" s="299"/>
      <c r="P92" s="299"/>
      <c r="Q92" s="299"/>
      <c r="R92" s="299"/>
      <c r="S92" s="312"/>
    </row>
    <row r="93" spans="1:21" ht="18" customHeight="1" x14ac:dyDescent="0.55000000000000004">
      <c r="A93" s="309"/>
      <c r="B93" s="310"/>
      <c r="C93" s="311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9"/>
      <c r="O93" s="299"/>
      <c r="P93" s="299"/>
      <c r="Q93" s="299"/>
      <c r="R93" s="299"/>
      <c r="S93" s="312"/>
    </row>
    <row r="94" spans="1:21" ht="18" customHeight="1" x14ac:dyDescent="0.55000000000000004">
      <c r="A94" s="309"/>
      <c r="B94" s="310"/>
      <c r="C94" s="311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9"/>
      <c r="O94" s="299"/>
      <c r="P94" s="299"/>
      <c r="Q94" s="299"/>
      <c r="R94" s="299"/>
      <c r="S94" s="312"/>
    </row>
    <row r="95" spans="1:21" ht="18" customHeight="1" x14ac:dyDescent="0.55000000000000004">
      <c r="A95" s="309"/>
      <c r="B95" s="310"/>
      <c r="C95" s="311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9"/>
      <c r="O95" s="299"/>
      <c r="P95" s="299"/>
      <c r="Q95" s="299"/>
      <c r="R95" s="299"/>
      <c r="S95" s="312"/>
    </row>
    <row r="96" spans="1:21" ht="18" customHeight="1" thickBot="1" x14ac:dyDescent="0.6">
      <c r="A96" s="309"/>
      <c r="B96" s="310"/>
      <c r="C96" s="311"/>
      <c r="D96" s="290"/>
      <c r="E96" s="299"/>
      <c r="F96" s="299"/>
      <c r="G96" s="299"/>
      <c r="H96" s="290"/>
      <c r="I96" s="290"/>
      <c r="J96" s="301"/>
      <c r="K96" s="290"/>
      <c r="L96" s="290"/>
      <c r="M96" s="300"/>
      <c r="N96" s="300"/>
      <c r="O96" s="300"/>
      <c r="P96" s="300"/>
      <c r="Q96" s="300"/>
      <c r="R96" s="300"/>
      <c r="S96" s="300"/>
      <c r="T96" s="180"/>
      <c r="U96" s="180"/>
    </row>
    <row r="97" spans="1:21" ht="36" x14ac:dyDescent="0.55000000000000004">
      <c r="A97" s="309"/>
      <c r="B97" s="310"/>
      <c r="C97" s="311"/>
      <c r="D97" s="290"/>
      <c r="E97" s="313"/>
      <c r="F97" s="313"/>
      <c r="G97" s="313"/>
      <c r="H97" s="290"/>
      <c r="I97" s="290"/>
      <c r="J97" s="290" t="s">
        <v>19</v>
      </c>
      <c r="K97" s="290"/>
      <c r="L97" s="290"/>
      <c r="M97" s="303" t="s">
        <v>52</v>
      </c>
      <c r="N97" s="303"/>
      <c r="O97" s="303"/>
      <c r="P97" s="303"/>
      <c r="Q97" s="303"/>
      <c r="R97" s="303"/>
      <c r="S97" s="303"/>
      <c r="T97" s="180"/>
      <c r="U97" s="180"/>
    </row>
    <row r="98" spans="1:21" ht="18" customHeight="1" x14ac:dyDescent="0.55000000000000004">
      <c r="A98" s="309"/>
      <c r="B98" s="310"/>
      <c r="C98" s="311"/>
      <c r="D98" s="290"/>
      <c r="E98" s="290"/>
      <c r="F98" s="290"/>
      <c r="G98" s="290"/>
      <c r="H98" s="290"/>
      <c r="I98" s="290"/>
      <c r="J98" s="290"/>
      <c r="K98" s="290"/>
      <c r="L98" s="290"/>
      <c r="M98" s="299"/>
      <c r="N98" s="299"/>
      <c r="O98" s="299"/>
      <c r="P98" s="299"/>
      <c r="Q98" s="299"/>
      <c r="R98" s="299"/>
      <c r="S98" s="312"/>
      <c r="T98" s="180"/>
      <c r="U98" s="180"/>
    </row>
    <row r="99" spans="1:21" ht="18" customHeight="1" x14ac:dyDescent="0.55000000000000004">
      <c r="A99" s="309"/>
      <c r="B99" s="310"/>
      <c r="C99" s="311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290"/>
      <c r="R99" s="290"/>
      <c r="S99" s="314"/>
    </row>
    <row r="100" spans="1:21" ht="18" customHeight="1" x14ac:dyDescent="0.55000000000000004">
      <c r="A100" s="309"/>
      <c r="B100" s="310"/>
      <c r="C100" s="311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  <c r="O100" s="290"/>
      <c r="P100" s="290"/>
      <c r="Q100" s="290"/>
      <c r="R100" s="290"/>
      <c r="S100" s="314"/>
    </row>
    <row r="101" spans="1:21" ht="18" customHeight="1" x14ac:dyDescent="0.35">
      <c r="A101" s="165"/>
      <c r="B101" s="166"/>
      <c r="C101" s="247"/>
      <c r="D101" s="242"/>
      <c r="E101" s="275"/>
      <c r="F101" s="275"/>
      <c r="G101" s="275"/>
      <c r="H101" s="275"/>
      <c r="I101" s="275"/>
      <c r="J101" s="275"/>
      <c r="K101" s="275"/>
      <c r="L101" s="275"/>
      <c r="M101" s="275"/>
      <c r="N101" s="275"/>
      <c r="O101" s="275"/>
      <c r="P101" s="275"/>
      <c r="Q101" s="275"/>
      <c r="R101" s="275"/>
      <c r="S101" s="276"/>
    </row>
    <row r="102" spans="1:21" ht="18" customHeight="1" x14ac:dyDescent="0.45">
      <c r="D102"/>
      <c r="E102" s="277"/>
      <c r="F102" s="277"/>
      <c r="G102" s="277"/>
      <c r="H102" s="275"/>
      <c r="I102" s="277"/>
      <c r="J102" s="277"/>
      <c r="K102" s="275"/>
      <c r="L102" s="278"/>
      <c r="M102" s="275"/>
      <c r="N102" s="275"/>
      <c r="O102" s="277"/>
      <c r="P102" s="275"/>
      <c r="Q102" s="275"/>
      <c r="R102" s="277"/>
      <c r="S102" s="279"/>
    </row>
    <row r="103" spans="1:21" s="186" customFormat="1" ht="33.75" x14ac:dyDescent="0.45">
      <c r="A103" s="183"/>
      <c r="B103" s="184"/>
      <c r="C103" s="185"/>
      <c r="E103" s="284" t="s">
        <v>427</v>
      </c>
      <c r="F103" s="284" t="s">
        <v>392</v>
      </c>
      <c r="G103" s="280"/>
      <c r="H103" s="281"/>
      <c r="I103" s="280"/>
      <c r="J103" s="280"/>
      <c r="K103" s="281"/>
      <c r="L103" s="282"/>
      <c r="M103" s="281"/>
      <c r="N103" s="281"/>
      <c r="O103" s="280"/>
      <c r="P103" s="281"/>
      <c r="Q103" s="281"/>
      <c r="R103" s="280"/>
      <c r="S103" s="283"/>
      <c r="T103" s="235"/>
      <c r="U103" s="235"/>
    </row>
    <row r="104" spans="1:21" s="186" customFormat="1" ht="33.75" x14ac:dyDescent="0.5">
      <c r="A104" s="183"/>
      <c r="B104" s="184"/>
      <c r="C104" s="185"/>
      <c r="E104" s="285" t="s">
        <v>600</v>
      </c>
      <c r="F104" s="286">
        <v>11100.75</v>
      </c>
      <c r="G104" s="277"/>
      <c r="H104" s="275"/>
      <c r="I104" s="277"/>
      <c r="J104" s="277"/>
      <c r="K104" s="275"/>
      <c r="L104" s="278"/>
      <c r="M104" s="275"/>
      <c r="N104" s="275"/>
      <c r="O104" s="277"/>
      <c r="P104" s="275"/>
      <c r="Q104" s="275"/>
      <c r="R104" s="277"/>
      <c r="S104" s="279"/>
    </row>
    <row r="105" spans="1:21" s="186" customFormat="1" ht="33.75" x14ac:dyDescent="0.5">
      <c r="A105" s="183"/>
      <c r="B105" s="184"/>
      <c r="C105" s="185"/>
      <c r="E105" s="287" t="s">
        <v>19</v>
      </c>
      <c r="F105" s="286">
        <v>2510.8000000000002</v>
      </c>
      <c r="G105" s="277"/>
      <c r="H105" s="275"/>
      <c r="I105" s="277"/>
      <c r="J105" s="277"/>
      <c r="K105" s="275"/>
      <c r="L105" s="278"/>
      <c r="M105" s="275"/>
      <c r="N105" s="275"/>
      <c r="O105" s="277"/>
      <c r="P105" s="275"/>
      <c r="Q105" s="275"/>
      <c r="R105" s="277"/>
      <c r="S105" s="279"/>
    </row>
    <row r="106" spans="1:21" s="186" customFormat="1" ht="33.75" x14ac:dyDescent="0.5">
      <c r="A106" s="183"/>
      <c r="B106" s="184"/>
      <c r="C106" s="185"/>
      <c r="E106" s="287" t="s">
        <v>383</v>
      </c>
      <c r="F106" s="286">
        <v>1668.7700000000002</v>
      </c>
      <c r="H106" s="187"/>
      <c r="K106" s="187"/>
      <c r="L106" s="188"/>
      <c r="M106" s="187"/>
      <c r="N106" s="187"/>
      <c r="P106" s="187"/>
      <c r="Q106" s="187"/>
      <c r="S106" s="189"/>
    </row>
    <row r="107" spans="1:21" s="186" customFormat="1" ht="33.75" x14ac:dyDescent="0.5">
      <c r="A107" s="183"/>
      <c r="B107" s="184"/>
      <c r="C107" s="185"/>
      <c r="E107" s="287" t="s">
        <v>74</v>
      </c>
      <c r="F107" s="286">
        <v>6423.1799999999994</v>
      </c>
      <c r="H107" s="187"/>
      <c r="K107" s="187"/>
      <c r="L107" s="188"/>
      <c r="M107" s="187"/>
      <c r="N107" s="187"/>
      <c r="P107" s="187"/>
      <c r="Q107" s="187"/>
      <c r="S107" s="189"/>
    </row>
    <row r="108" spans="1:21" s="186" customFormat="1" ht="33.75" x14ac:dyDescent="0.5">
      <c r="A108" s="183"/>
      <c r="B108" s="184"/>
      <c r="C108" s="185"/>
      <c r="E108" s="287" t="s">
        <v>52</v>
      </c>
      <c r="F108" s="286">
        <v>498</v>
      </c>
      <c r="H108" s="187"/>
      <c r="K108" s="187"/>
      <c r="L108" s="188"/>
      <c r="M108" s="187"/>
      <c r="N108" s="187"/>
      <c r="P108" s="187"/>
      <c r="Q108" s="187"/>
      <c r="S108" s="189"/>
    </row>
    <row r="109" spans="1:21" s="186" customFormat="1" ht="33.75" x14ac:dyDescent="0.5">
      <c r="A109" s="183"/>
      <c r="B109" s="184"/>
      <c r="C109" s="185"/>
      <c r="E109" s="285" t="s">
        <v>633</v>
      </c>
      <c r="F109" s="286">
        <v>820</v>
      </c>
      <c r="H109" s="187"/>
      <c r="K109" s="187"/>
      <c r="L109" s="188"/>
      <c r="M109" s="187"/>
      <c r="N109" s="187"/>
      <c r="P109" s="187"/>
      <c r="Q109" s="187"/>
      <c r="S109" s="189"/>
    </row>
    <row r="110" spans="1:21" s="186" customFormat="1" ht="33.75" x14ac:dyDescent="0.5">
      <c r="A110" s="183"/>
      <c r="B110" s="184"/>
      <c r="C110" s="185"/>
      <c r="E110" s="287" t="s">
        <v>634</v>
      </c>
      <c r="F110" s="286">
        <v>820</v>
      </c>
      <c r="H110" s="187"/>
      <c r="K110" s="187"/>
      <c r="L110" s="188"/>
      <c r="M110" s="187"/>
      <c r="N110" s="187"/>
      <c r="P110" s="187"/>
      <c r="Q110" s="187"/>
      <c r="S110" s="189"/>
    </row>
    <row r="111" spans="1:21" s="186" customFormat="1" ht="33.75" x14ac:dyDescent="0.5">
      <c r="A111" s="183"/>
      <c r="B111" s="184"/>
      <c r="C111" s="185"/>
      <c r="E111" s="285" t="s">
        <v>593</v>
      </c>
      <c r="F111" s="286">
        <v>4769.3999999999996</v>
      </c>
      <c r="H111" s="187"/>
      <c r="K111" s="187"/>
      <c r="L111" s="188"/>
      <c r="M111" s="187"/>
      <c r="N111" s="187"/>
      <c r="P111" s="187"/>
      <c r="Q111" s="187"/>
      <c r="S111" s="189"/>
    </row>
    <row r="112" spans="1:21" s="186" customFormat="1" ht="33.75" x14ac:dyDescent="0.5">
      <c r="A112" s="183"/>
      <c r="B112" s="184"/>
      <c r="C112" s="185"/>
      <c r="E112" s="287" t="s">
        <v>557</v>
      </c>
      <c r="F112" s="286">
        <v>4769.3999999999996</v>
      </c>
      <c r="H112" s="187"/>
      <c r="K112" s="187"/>
      <c r="L112" s="188"/>
      <c r="M112" s="187"/>
      <c r="N112" s="187"/>
      <c r="P112" s="187"/>
      <c r="Q112" s="187"/>
      <c r="S112" s="189"/>
    </row>
    <row r="113" spans="1:19" s="186" customFormat="1" ht="33.75" x14ac:dyDescent="0.5">
      <c r="A113" s="183"/>
      <c r="B113" s="184"/>
      <c r="C113" s="185"/>
      <c r="E113" s="285" t="s">
        <v>696</v>
      </c>
      <c r="F113" s="286">
        <v>16284.300000000001</v>
      </c>
      <c r="H113" s="187"/>
      <c r="K113" s="187"/>
      <c r="L113" s="188"/>
      <c r="M113" s="187"/>
      <c r="N113" s="187"/>
      <c r="P113" s="187"/>
      <c r="Q113" s="187"/>
      <c r="S113" s="189"/>
    </row>
    <row r="114" spans="1:19" s="186" customFormat="1" ht="33.75" x14ac:dyDescent="0.5">
      <c r="A114" s="183"/>
      <c r="B114" s="184"/>
      <c r="C114" s="185"/>
      <c r="E114" s="287" t="s">
        <v>647</v>
      </c>
      <c r="F114" s="286">
        <v>16284.300000000001</v>
      </c>
      <c r="H114" s="187"/>
      <c r="K114" s="187"/>
      <c r="L114" s="188"/>
      <c r="M114" s="187"/>
      <c r="N114" s="187"/>
      <c r="P114" s="187"/>
      <c r="Q114" s="187"/>
      <c r="S114" s="189"/>
    </row>
    <row r="115" spans="1:19" s="186" customFormat="1" ht="33.75" x14ac:dyDescent="0.3">
      <c r="A115" s="183"/>
      <c r="B115" s="184"/>
      <c r="C115" s="185"/>
      <c r="E115" s="288" t="s">
        <v>391</v>
      </c>
      <c r="F115" s="289">
        <v>32974.450000000004</v>
      </c>
      <c r="G115" s="230"/>
      <c r="H115" s="187"/>
      <c r="K115" s="187"/>
      <c r="L115" s="188"/>
      <c r="M115" s="187"/>
      <c r="N115" s="187"/>
      <c r="P115" s="187"/>
      <c r="Q115" s="187"/>
      <c r="S115" s="189"/>
    </row>
    <row r="116" spans="1:19" ht="15" x14ac:dyDescent="0.25">
      <c r="D116"/>
      <c r="E116" s="231"/>
      <c r="F116" s="231"/>
      <c r="G116" s="232"/>
    </row>
    <row r="117" spans="1:19" ht="15" x14ac:dyDescent="0.25">
      <c r="D117"/>
      <c r="E117"/>
      <c r="F117"/>
    </row>
    <row r="118" spans="1:19" ht="15" x14ac:dyDescent="0.25">
      <c r="D118"/>
      <c r="E118"/>
      <c r="F118"/>
    </row>
    <row r="119" spans="1:19" ht="15" x14ac:dyDescent="0.25">
      <c r="D119"/>
      <c r="E119"/>
      <c r="F119"/>
    </row>
    <row r="120" spans="1:19" ht="15" x14ac:dyDescent="0.25">
      <c r="D120"/>
      <c r="E120"/>
      <c r="F120"/>
    </row>
    <row r="121" spans="1:19" ht="15" x14ac:dyDescent="0.25">
      <c r="D121"/>
      <c r="E121"/>
      <c r="F121"/>
    </row>
    <row r="122" spans="1:19" ht="15" x14ac:dyDescent="0.25">
      <c r="D122"/>
      <c r="E122"/>
      <c r="F122"/>
    </row>
    <row r="123" spans="1:19" ht="15" x14ac:dyDescent="0.25">
      <c r="D123"/>
      <c r="E123"/>
      <c r="F123"/>
    </row>
    <row r="124" spans="1:19" ht="15" x14ac:dyDescent="0.25">
      <c r="D124"/>
      <c r="E124"/>
      <c r="F124"/>
    </row>
    <row r="125" spans="1:19" ht="15" x14ac:dyDescent="0.25">
      <c r="D125"/>
      <c r="E125"/>
      <c r="F125"/>
    </row>
    <row r="126" spans="1:19" ht="15" x14ac:dyDescent="0.25">
      <c r="D126"/>
      <c r="E126"/>
      <c r="F126"/>
    </row>
    <row r="127" spans="1:19" ht="15" x14ac:dyDescent="0.25">
      <c r="D127"/>
      <c r="E127"/>
      <c r="F127"/>
    </row>
    <row r="128" spans="1:19" ht="15" x14ac:dyDescent="0.25">
      <c r="D128"/>
      <c r="E128"/>
      <c r="F128"/>
    </row>
    <row r="129" spans="4:6" ht="15" x14ac:dyDescent="0.25">
      <c r="D129"/>
      <c r="E129"/>
      <c r="F129"/>
    </row>
    <row r="130" spans="4:6" ht="15" x14ac:dyDescent="0.25">
      <c r="D130"/>
      <c r="E130"/>
      <c r="F130"/>
    </row>
    <row r="131" spans="4:6" ht="15" x14ac:dyDescent="0.25">
      <c r="D131"/>
      <c r="E131"/>
      <c r="F131"/>
    </row>
    <row r="132" spans="4:6" ht="15" x14ac:dyDescent="0.25">
      <c r="D132"/>
      <c r="E132"/>
      <c r="F132"/>
    </row>
    <row r="133" spans="4:6" ht="15" x14ac:dyDescent="0.25">
      <c r="D133"/>
      <c r="E133"/>
      <c r="F133"/>
    </row>
    <row r="134" spans="4:6" ht="15" x14ac:dyDescent="0.25">
      <c r="D134"/>
      <c r="E134"/>
      <c r="F134"/>
    </row>
    <row r="135" spans="4:6" ht="15" x14ac:dyDescent="0.25">
      <c r="D135"/>
      <c r="E135"/>
      <c r="F135"/>
    </row>
    <row r="136" spans="4:6" ht="15" x14ac:dyDescent="0.25">
      <c r="D136"/>
      <c r="E136"/>
      <c r="F136"/>
    </row>
    <row r="137" spans="4:6" ht="15" x14ac:dyDescent="0.25">
      <c r="D137"/>
      <c r="E137"/>
      <c r="F137"/>
    </row>
    <row r="138" spans="4:6" ht="15" x14ac:dyDescent="0.25">
      <c r="D138"/>
      <c r="E138"/>
      <c r="F138"/>
    </row>
    <row r="139" spans="4:6" ht="15" x14ac:dyDescent="0.25">
      <c r="D139"/>
      <c r="E139"/>
      <c r="F139"/>
    </row>
    <row r="140" spans="4:6" ht="15" x14ac:dyDescent="0.25">
      <c r="D140"/>
      <c r="E140"/>
      <c r="F140"/>
    </row>
    <row r="141" spans="4:6" ht="15" x14ac:dyDescent="0.25">
      <c r="D141"/>
      <c r="E141"/>
      <c r="F141"/>
    </row>
    <row r="142" spans="4:6" ht="15" x14ac:dyDescent="0.25">
      <c r="D142"/>
      <c r="E142"/>
      <c r="F142"/>
    </row>
    <row r="143" spans="4:6" ht="15" x14ac:dyDescent="0.25">
      <c r="D143"/>
      <c r="E143"/>
      <c r="F143"/>
    </row>
    <row r="144" spans="4:6" ht="15" x14ac:dyDescent="0.25">
      <c r="D144"/>
      <c r="E144"/>
      <c r="F144"/>
    </row>
    <row r="145" spans="4:6" ht="15" x14ac:dyDescent="0.25">
      <c r="D145"/>
      <c r="E145"/>
      <c r="F145"/>
    </row>
    <row r="146" spans="4:6" ht="15" x14ac:dyDescent="0.25">
      <c r="D146"/>
      <c r="E146"/>
      <c r="F146"/>
    </row>
    <row r="147" spans="4:6" ht="15" x14ac:dyDescent="0.25">
      <c r="D147"/>
      <c r="E147"/>
      <c r="F147"/>
    </row>
    <row r="148" spans="4:6" ht="15" x14ac:dyDescent="0.25">
      <c r="D148"/>
      <c r="E148"/>
      <c r="F148"/>
    </row>
    <row r="149" spans="4:6" ht="15" x14ac:dyDescent="0.25">
      <c r="D149"/>
      <c r="E149"/>
      <c r="F149"/>
    </row>
    <row r="150" spans="4:6" ht="15" x14ac:dyDescent="0.25">
      <c r="D150"/>
      <c r="E150"/>
      <c r="F150"/>
    </row>
    <row r="151" spans="4:6" ht="15" x14ac:dyDescent="0.25">
      <c r="D151"/>
      <c r="E151"/>
      <c r="F151"/>
    </row>
    <row r="152" spans="4:6" ht="15" x14ac:dyDescent="0.25">
      <c r="D152"/>
      <c r="E152"/>
      <c r="F152"/>
    </row>
    <row r="153" spans="4:6" ht="15" x14ac:dyDescent="0.25">
      <c r="D153"/>
      <c r="E153"/>
      <c r="F153"/>
    </row>
    <row r="154" spans="4:6" ht="15" x14ac:dyDescent="0.25">
      <c r="D154"/>
      <c r="E154"/>
      <c r="F154"/>
    </row>
    <row r="155" spans="4:6" ht="15" x14ac:dyDescent="0.25">
      <c r="D155"/>
      <c r="E155"/>
      <c r="F155"/>
    </row>
    <row r="156" spans="4:6" ht="15" x14ac:dyDescent="0.25">
      <c r="D156"/>
      <c r="E156"/>
      <c r="F156"/>
    </row>
    <row r="157" spans="4:6" ht="15" x14ac:dyDescent="0.25">
      <c r="D157"/>
      <c r="E157"/>
      <c r="F157"/>
    </row>
    <row r="158" spans="4:6" ht="15" x14ac:dyDescent="0.25">
      <c r="D158"/>
      <c r="E158"/>
      <c r="F158"/>
    </row>
    <row r="159" spans="4:6" ht="15" x14ac:dyDescent="0.25">
      <c r="D159"/>
      <c r="E159"/>
      <c r="F159"/>
    </row>
    <row r="160" spans="4:6" ht="15" x14ac:dyDescent="0.25">
      <c r="D160"/>
      <c r="E160"/>
      <c r="F160"/>
    </row>
    <row r="161" spans="4:6" ht="15" x14ac:dyDescent="0.25">
      <c r="D161"/>
      <c r="E161"/>
      <c r="F161"/>
    </row>
    <row r="162" spans="4:6" ht="15" x14ac:dyDescent="0.25">
      <c r="D162"/>
      <c r="E162"/>
      <c r="F162"/>
    </row>
    <row r="163" spans="4:6" ht="15" x14ac:dyDescent="0.25">
      <c r="D163"/>
      <c r="E163"/>
      <c r="F163"/>
    </row>
    <row r="164" spans="4:6" ht="15" x14ac:dyDescent="0.25">
      <c r="D164"/>
      <c r="E164"/>
      <c r="F164"/>
    </row>
    <row r="165" spans="4:6" ht="15" x14ac:dyDescent="0.25">
      <c r="D165"/>
      <c r="E165"/>
      <c r="F165"/>
    </row>
    <row r="166" spans="4:6" ht="15" x14ac:dyDescent="0.25">
      <c r="D166"/>
      <c r="E166"/>
      <c r="F166"/>
    </row>
    <row r="167" spans="4:6" ht="15" x14ac:dyDescent="0.25">
      <c r="D167"/>
      <c r="E167"/>
      <c r="F167"/>
    </row>
    <row r="168" spans="4:6" ht="15" x14ac:dyDescent="0.25">
      <c r="D168"/>
      <c r="E168"/>
      <c r="F168"/>
    </row>
    <row r="169" spans="4:6" ht="15" x14ac:dyDescent="0.25">
      <c r="D169"/>
      <c r="E169"/>
      <c r="F169"/>
    </row>
    <row r="170" spans="4:6" ht="15" x14ac:dyDescent="0.25">
      <c r="D170"/>
      <c r="E170"/>
      <c r="F170"/>
    </row>
    <row r="171" spans="4:6" ht="15" x14ac:dyDescent="0.25">
      <c r="D171"/>
      <c r="E171"/>
      <c r="F171"/>
    </row>
    <row r="172" spans="4:6" ht="15" x14ac:dyDescent="0.25">
      <c r="D172"/>
      <c r="E172"/>
      <c r="F172"/>
    </row>
    <row r="173" spans="4:6" ht="15" x14ac:dyDescent="0.25">
      <c r="D173"/>
      <c r="E173"/>
      <c r="F173"/>
    </row>
    <row r="174" spans="4:6" ht="15" x14ac:dyDescent="0.25">
      <c r="D174"/>
      <c r="E174"/>
      <c r="F174"/>
    </row>
    <row r="175" spans="4:6" ht="15" x14ac:dyDescent="0.25">
      <c r="D175"/>
      <c r="E175"/>
      <c r="F175"/>
    </row>
    <row r="176" spans="4:6" ht="15" x14ac:dyDescent="0.25">
      <c r="D176"/>
      <c r="E176"/>
      <c r="F176"/>
    </row>
    <row r="177" spans="4:6" ht="15" x14ac:dyDescent="0.25">
      <c r="D177"/>
      <c r="E177"/>
      <c r="F177"/>
    </row>
    <row r="178" spans="4:6" ht="15" x14ac:dyDescent="0.25">
      <c r="D178"/>
      <c r="E178"/>
      <c r="F178"/>
    </row>
    <row r="179" spans="4:6" ht="15" x14ac:dyDescent="0.25">
      <c r="D179"/>
      <c r="E179"/>
      <c r="F179"/>
    </row>
    <row r="180" spans="4:6" ht="15" x14ac:dyDescent="0.25">
      <c r="D180"/>
      <c r="E180"/>
      <c r="F180"/>
    </row>
    <row r="181" spans="4:6" ht="15" x14ac:dyDescent="0.25">
      <c r="D181"/>
      <c r="E181"/>
      <c r="F181"/>
    </row>
    <row r="182" spans="4:6" ht="15" x14ac:dyDescent="0.25">
      <c r="D182"/>
      <c r="E182"/>
      <c r="F182"/>
    </row>
    <row r="183" spans="4:6" ht="15" x14ac:dyDescent="0.25">
      <c r="D183"/>
      <c r="E183"/>
      <c r="F183"/>
    </row>
    <row r="184" spans="4:6" ht="15" x14ac:dyDescent="0.25">
      <c r="D184"/>
      <c r="E184"/>
      <c r="F184"/>
    </row>
    <row r="185" spans="4:6" ht="15" x14ac:dyDescent="0.25">
      <c r="D185"/>
      <c r="E185"/>
      <c r="F185"/>
    </row>
    <row r="186" spans="4:6" ht="15" x14ac:dyDescent="0.25">
      <c r="D186"/>
      <c r="E186"/>
      <c r="F186"/>
    </row>
    <row r="187" spans="4:6" ht="15" x14ac:dyDescent="0.25">
      <c r="D187"/>
      <c r="E187"/>
      <c r="F187"/>
    </row>
    <row r="188" spans="4:6" ht="15" x14ac:dyDescent="0.25">
      <c r="D188"/>
      <c r="E188"/>
      <c r="F188"/>
    </row>
    <row r="189" spans="4:6" ht="15" x14ac:dyDescent="0.25">
      <c r="D189"/>
      <c r="E189"/>
      <c r="F189"/>
    </row>
    <row r="190" spans="4:6" ht="15" x14ac:dyDescent="0.25">
      <c r="D190"/>
      <c r="E190"/>
      <c r="F190"/>
    </row>
    <row r="191" spans="4:6" ht="15" x14ac:dyDescent="0.25">
      <c r="D191"/>
      <c r="E191"/>
      <c r="F191"/>
    </row>
    <row r="192" spans="4:6" ht="15" x14ac:dyDescent="0.25">
      <c r="D192"/>
      <c r="E192"/>
      <c r="F192"/>
    </row>
    <row r="193" spans="4:6" ht="15" x14ac:dyDescent="0.25">
      <c r="D193"/>
      <c r="E193"/>
      <c r="F193"/>
    </row>
    <row r="194" spans="4:6" ht="15" x14ac:dyDescent="0.25">
      <c r="D194"/>
      <c r="E194"/>
      <c r="F194"/>
    </row>
    <row r="195" spans="4:6" ht="15" x14ac:dyDescent="0.25">
      <c r="D195"/>
      <c r="E195"/>
      <c r="F195"/>
    </row>
    <row r="196" spans="4:6" ht="15" x14ac:dyDescent="0.25">
      <c r="D196"/>
      <c r="E196"/>
      <c r="F196"/>
    </row>
    <row r="197" spans="4:6" ht="15" x14ac:dyDescent="0.25">
      <c r="D197"/>
      <c r="E197"/>
      <c r="F197"/>
    </row>
    <row r="198" spans="4:6" ht="15" x14ac:dyDescent="0.25">
      <c r="D198"/>
      <c r="E198"/>
      <c r="F198"/>
    </row>
    <row r="199" spans="4:6" ht="15" x14ac:dyDescent="0.25">
      <c r="D199"/>
      <c r="E199"/>
      <c r="F199"/>
    </row>
    <row r="200" spans="4:6" ht="15" x14ac:dyDescent="0.25">
      <c r="D200"/>
      <c r="E200"/>
      <c r="F200"/>
    </row>
    <row r="201" spans="4:6" ht="15" x14ac:dyDescent="0.25">
      <c r="D201"/>
      <c r="E201"/>
      <c r="F201"/>
    </row>
    <row r="202" spans="4:6" ht="15" x14ac:dyDescent="0.25">
      <c r="D202"/>
      <c r="E202"/>
      <c r="F202"/>
    </row>
    <row r="203" spans="4:6" ht="15" x14ac:dyDescent="0.25">
      <c r="D203"/>
      <c r="E203"/>
      <c r="F203"/>
    </row>
    <row r="204" spans="4:6" ht="15" x14ac:dyDescent="0.25">
      <c r="D204"/>
      <c r="E204"/>
      <c r="F204"/>
    </row>
    <row r="205" spans="4:6" ht="15" x14ac:dyDescent="0.25">
      <c r="D205"/>
      <c r="E205"/>
      <c r="F205"/>
    </row>
    <row r="206" spans="4:6" ht="15" x14ac:dyDescent="0.25">
      <c r="D206"/>
      <c r="E206"/>
      <c r="F206"/>
    </row>
    <row r="207" spans="4:6" ht="15" x14ac:dyDescent="0.25">
      <c r="D207"/>
      <c r="E207"/>
      <c r="F207"/>
    </row>
    <row r="208" spans="4:6" ht="15" x14ac:dyDescent="0.25">
      <c r="D208"/>
      <c r="E208"/>
      <c r="F208"/>
    </row>
    <row r="209" spans="4:6" ht="15" x14ac:dyDescent="0.25">
      <c r="D209"/>
      <c r="E209"/>
      <c r="F209"/>
    </row>
    <row r="210" spans="4:6" ht="15" x14ac:dyDescent="0.25">
      <c r="D210"/>
      <c r="E210"/>
      <c r="F210"/>
    </row>
    <row r="211" spans="4:6" ht="15" x14ac:dyDescent="0.25">
      <c r="D211"/>
      <c r="E211"/>
      <c r="F211"/>
    </row>
    <row r="212" spans="4:6" ht="15" x14ac:dyDescent="0.25">
      <c r="D212"/>
      <c r="E212"/>
      <c r="F212"/>
    </row>
    <row r="213" spans="4:6" ht="15" x14ac:dyDescent="0.25">
      <c r="D213"/>
      <c r="E213"/>
      <c r="F213"/>
    </row>
    <row r="214" spans="4:6" ht="15" x14ac:dyDescent="0.25">
      <c r="D214"/>
      <c r="E214"/>
      <c r="F214"/>
    </row>
    <row r="215" spans="4:6" ht="15" x14ac:dyDescent="0.25">
      <c r="D215"/>
      <c r="E215"/>
      <c r="F215"/>
    </row>
    <row r="216" spans="4:6" ht="15" x14ac:dyDescent="0.25">
      <c r="D216"/>
      <c r="E216"/>
      <c r="F216"/>
    </row>
    <row r="217" spans="4:6" ht="15" x14ac:dyDescent="0.25">
      <c r="D217"/>
      <c r="E217"/>
      <c r="F217"/>
    </row>
    <row r="218" spans="4:6" ht="15" x14ac:dyDescent="0.25">
      <c r="D218"/>
      <c r="E218"/>
      <c r="F218"/>
    </row>
    <row r="219" spans="4:6" ht="15" x14ac:dyDescent="0.25">
      <c r="D219"/>
      <c r="E219"/>
      <c r="F219"/>
    </row>
    <row r="220" spans="4:6" ht="15" x14ac:dyDescent="0.25">
      <c r="D220"/>
      <c r="E220"/>
      <c r="F220"/>
    </row>
    <row r="221" spans="4:6" ht="15" x14ac:dyDescent="0.25">
      <c r="D221"/>
      <c r="E221"/>
      <c r="F221"/>
    </row>
    <row r="222" spans="4:6" ht="15" x14ac:dyDescent="0.25">
      <c r="D222"/>
      <c r="E222"/>
      <c r="F222"/>
    </row>
    <row r="223" spans="4:6" ht="15" x14ac:dyDescent="0.25">
      <c r="D223"/>
      <c r="E223"/>
      <c r="F223"/>
    </row>
    <row r="224" spans="4:6" ht="15" x14ac:dyDescent="0.25">
      <c r="D224"/>
      <c r="E224"/>
      <c r="F224"/>
    </row>
    <row r="225" spans="4:6" ht="15" x14ac:dyDescent="0.25">
      <c r="D225"/>
      <c r="E225"/>
      <c r="F225"/>
    </row>
    <row r="226" spans="4:6" ht="15" x14ac:dyDescent="0.25">
      <c r="D226"/>
      <c r="E226"/>
      <c r="F226"/>
    </row>
    <row r="227" spans="4:6" ht="15" x14ac:dyDescent="0.25">
      <c r="D227"/>
      <c r="E227"/>
      <c r="F227"/>
    </row>
    <row r="228" spans="4:6" ht="15" x14ac:dyDescent="0.25">
      <c r="D228"/>
      <c r="E228"/>
      <c r="F228"/>
    </row>
    <row r="229" spans="4:6" ht="15" x14ac:dyDescent="0.25">
      <c r="D229"/>
      <c r="E229"/>
      <c r="F229"/>
    </row>
    <row r="230" spans="4:6" ht="15" x14ac:dyDescent="0.25">
      <c r="D230"/>
      <c r="E230"/>
      <c r="F230"/>
    </row>
    <row r="231" spans="4:6" ht="15" x14ac:dyDescent="0.25">
      <c r="D231"/>
      <c r="E231"/>
      <c r="F231"/>
    </row>
    <row r="232" spans="4:6" ht="15" x14ac:dyDescent="0.25">
      <c r="D232"/>
      <c r="E232"/>
      <c r="F232"/>
    </row>
    <row r="233" spans="4:6" ht="15" x14ac:dyDescent="0.25">
      <c r="D233"/>
      <c r="E233"/>
      <c r="F233"/>
    </row>
    <row r="234" spans="4:6" ht="15" x14ac:dyDescent="0.25">
      <c r="D234"/>
      <c r="E234"/>
      <c r="F234"/>
    </row>
    <row r="235" spans="4:6" ht="15" x14ac:dyDescent="0.25">
      <c r="D235"/>
      <c r="E235"/>
      <c r="F235"/>
    </row>
    <row r="236" spans="4:6" ht="15" x14ac:dyDescent="0.25">
      <c r="D236"/>
      <c r="E236"/>
      <c r="F236"/>
    </row>
    <row r="237" spans="4:6" ht="15" x14ac:dyDescent="0.25">
      <c r="D237"/>
      <c r="E237"/>
      <c r="F237"/>
    </row>
    <row r="238" spans="4:6" ht="15" x14ac:dyDescent="0.25">
      <c r="D238"/>
      <c r="E238"/>
      <c r="F238"/>
    </row>
    <row r="239" spans="4:6" ht="15" x14ac:dyDescent="0.25">
      <c r="D239"/>
      <c r="E239"/>
      <c r="F239"/>
    </row>
    <row r="240" spans="4:6" ht="15" x14ac:dyDescent="0.25">
      <c r="D240"/>
      <c r="E240"/>
      <c r="F240"/>
    </row>
    <row r="241" spans="4:6" ht="15" x14ac:dyDescent="0.25">
      <c r="D241"/>
      <c r="E241"/>
      <c r="F241"/>
    </row>
    <row r="242" spans="4:6" ht="15" x14ac:dyDescent="0.25">
      <c r="D242"/>
      <c r="E242"/>
      <c r="F242"/>
    </row>
    <row r="243" spans="4:6" ht="15" x14ac:dyDescent="0.25">
      <c r="D243"/>
      <c r="E243"/>
      <c r="F243"/>
    </row>
    <row r="244" spans="4:6" ht="15" x14ac:dyDescent="0.25">
      <c r="D244"/>
      <c r="E244"/>
      <c r="F244"/>
    </row>
    <row r="245" spans="4:6" ht="15" x14ac:dyDescent="0.25">
      <c r="D245"/>
      <c r="E245"/>
      <c r="F245"/>
    </row>
    <row r="246" spans="4:6" ht="15" x14ac:dyDescent="0.25">
      <c r="D246"/>
      <c r="E246"/>
      <c r="F246"/>
    </row>
    <row r="247" spans="4:6" ht="15" x14ac:dyDescent="0.25">
      <c r="D247"/>
      <c r="E247"/>
      <c r="F247"/>
    </row>
    <row r="248" spans="4:6" ht="15" x14ac:dyDescent="0.25">
      <c r="D248"/>
      <c r="E248"/>
      <c r="F248"/>
    </row>
    <row r="249" spans="4:6" ht="15" x14ac:dyDescent="0.25">
      <c r="D249"/>
      <c r="E249"/>
      <c r="F249"/>
    </row>
    <row r="250" spans="4:6" ht="15" x14ac:dyDescent="0.25">
      <c r="D250"/>
      <c r="E250"/>
      <c r="F250"/>
    </row>
    <row r="251" spans="4:6" ht="15" x14ac:dyDescent="0.25">
      <c r="D251"/>
      <c r="E251"/>
      <c r="F251"/>
    </row>
    <row r="252" spans="4:6" ht="15" x14ac:dyDescent="0.25">
      <c r="D252"/>
      <c r="E252"/>
      <c r="F252"/>
    </row>
    <row r="253" spans="4:6" ht="15" x14ac:dyDescent="0.25">
      <c r="D253"/>
      <c r="E253"/>
      <c r="F253"/>
    </row>
    <row r="254" spans="4:6" ht="15" x14ac:dyDescent="0.25">
      <c r="D254"/>
      <c r="E254"/>
      <c r="F254"/>
    </row>
    <row r="255" spans="4:6" ht="15" x14ac:dyDescent="0.25">
      <c r="D255"/>
      <c r="E255"/>
      <c r="F255"/>
    </row>
    <row r="256" spans="4:6" ht="15" x14ac:dyDescent="0.25">
      <c r="D256"/>
      <c r="E256"/>
      <c r="F256"/>
    </row>
    <row r="257" spans="4:6" ht="15" x14ac:dyDescent="0.25">
      <c r="D257"/>
      <c r="E257"/>
      <c r="F257"/>
    </row>
    <row r="258" spans="4:6" ht="15" x14ac:dyDescent="0.25">
      <c r="D258"/>
      <c r="E258"/>
      <c r="F258"/>
    </row>
    <row r="259" spans="4:6" ht="15" x14ac:dyDescent="0.25">
      <c r="D259"/>
      <c r="E259"/>
      <c r="F259"/>
    </row>
    <row r="260" spans="4:6" ht="15" x14ac:dyDescent="0.25">
      <c r="D260"/>
      <c r="E260"/>
      <c r="F260"/>
    </row>
    <row r="261" spans="4:6" ht="15" x14ac:dyDescent="0.25">
      <c r="D261"/>
      <c r="E261"/>
      <c r="F261"/>
    </row>
    <row r="262" spans="4:6" ht="15" x14ac:dyDescent="0.25">
      <c r="D262"/>
      <c r="E262"/>
      <c r="F262"/>
    </row>
    <row r="263" spans="4:6" ht="15" x14ac:dyDescent="0.25">
      <c r="D263"/>
      <c r="E263"/>
      <c r="F263"/>
    </row>
    <row r="264" spans="4:6" ht="15" x14ac:dyDescent="0.25">
      <c r="D264"/>
      <c r="E264"/>
      <c r="F264"/>
    </row>
    <row r="265" spans="4:6" ht="15" x14ac:dyDescent="0.25">
      <c r="D265"/>
      <c r="E265"/>
      <c r="F265"/>
    </row>
    <row r="266" spans="4:6" ht="15" x14ac:dyDescent="0.25">
      <c r="D266"/>
      <c r="E266"/>
      <c r="F266"/>
    </row>
    <row r="267" spans="4:6" ht="15" x14ac:dyDescent="0.25">
      <c r="D267"/>
    </row>
    <row r="268" spans="4:6" ht="15" x14ac:dyDescent="0.25">
      <c r="D268"/>
    </row>
    <row r="269" spans="4:6" ht="15" x14ac:dyDescent="0.25">
      <c r="D269"/>
    </row>
    <row r="270" spans="4:6" ht="15" x14ac:dyDescent="0.25">
      <c r="D270"/>
    </row>
    <row r="271" spans="4:6" ht="15" x14ac:dyDescent="0.25">
      <c r="D271"/>
    </row>
    <row r="272" spans="4:6" ht="15" x14ac:dyDescent="0.25">
      <c r="D272"/>
    </row>
    <row r="273" spans="4:4" ht="15" x14ac:dyDescent="0.25">
      <c r="D273"/>
    </row>
    <row r="274" spans="4:4" ht="15" x14ac:dyDescent="0.25">
      <c r="D274"/>
    </row>
    <row r="275" spans="4:4" ht="15" x14ac:dyDescent="0.25">
      <c r="D275"/>
    </row>
    <row r="276" spans="4:4" ht="15" x14ac:dyDescent="0.25">
      <c r="D276"/>
    </row>
    <row r="277" spans="4:4" ht="15" x14ac:dyDescent="0.25">
      <c r="D277"/>
    </row>
    <row r="278" spans="4:4" ht="15" x14ac:dyDescent="0.25">
      <c r="D278"/>
    </row>
    <row r="279" spans="4:4" ht="15" x14ac:dyDescent="0.25">
      <c r="D279"/>
    </row>
    <row r="280" spans="4:4" ht="15" x14ac:dyDescent="0.25">
      <c r="D280"/>
    </row>
    <row r="281" spans="4:4" ht="15" x14ac:dyDescent="0.25">
      <c r="D281"/>
    </row>
    <row r="282" spans="4:4" ht="15" x14ac:dyDescent="0.25">
      <c r="D282"/>
    </row>
    <row r="283" spans="4:4" ht="15" x14ac:dyDescent="0.25">
      <c r="D283"/>
    </row>
    <row r="284" spans="4:4" ht="15" x14ac:dyDescent="0.25">
      <c r="D284"/>
    </row>
    <row r="285" spans="4:4" ht="15" x14ac:dyDescent="0.25">
      <c r="D285"/>
    </row>
    <row r="286" spans="4:4" ht="15" x14ac:dyDescent="0.25">
      <c r="D286"/>
    </row>
    <row r="287" spans="4:4" ht="15" x14ac:dyDescent="0.25">
      <c r="D287"/>
    </row>
    <row r="288" spans="4:4" ht="15" x14ac:dyDescent="0.25">
      <c r="D288"/>
    </row>
  </sheetData>
  <mergeCells count="15">
    <mergeCell ref="N81:S81"/>
    <mergeCell ref="N69:S69"/>
    <mergeCell ref="E75:G75"/>
    <mergeCell ref="E76:G76"/>
    <mergeCell ref="M76:S76"/>
    <mergeCell ref="N77:S77"/>
    <mergeCell ref="M96:S96"/>
    <mergeCell ref="E97:G97"/>
    <mergeCell ref="M97:S97"/>
    <mergeCell ref="E83:G83"/>
    <mergeCell ref="M83:S83"/>
    <mergeCell ref="N84:S84"/>
    <mergeCell ref="M89:S89"/>
    <mergeCell ref="E90:G90"/>
    <mergeCell ref="M90:S90"/>
  </mergeCells>
  <conditionalFormatting sqref="L3">
    <cfRule type="duplicateValues" dxfId="1" priority="2"/>
  </conditionalFormatting>
  <conditionalFormatting sqref="L2">
    <cfRule type="duplicateValues" dxfId="0" priority="1"/>
  </conditionalFormatting>
  <pageMargins left="0.7" right="0.7" top="0.75" bottom="0.75" header="0.3" footer="0.3"/>
  <pageSetup paperSize="9" scale="20" fitToHeight="0" orientation="landscape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37B05-B744-4C6A-805F-EFFE72B51CE7}">
  <dimension ref="A1:K30"/>
  <sheetViews>
    <sheetView workbookViewId="0">
      <selection activeCell="O17" sqref="O17"/>
    </sheetView>
  </sheetViews>
  <sheetFormatPr defaultRowHeight="15" x14ac:dyDescent="0.25"/>
  <cols>
    <col min="1" max="1" width="32.42578125" customWidth="1"/>
    <col min="3" max="4" width="9.140625" style="24"/>
    <col min="5" max="5" width="11.42578125" customWidth="1"/>
    <col min="6" max="6" width="11.28515625" bestFit="1" customWidth="1"/>
  </cols>
  <sheetData>
    <row r="1" spans="1:11" x14ac:dyDescent="0.25">
      <c r="A1" s="5" t="s">
        <v>42</v>
      </c>
      <c r="B1" s="15">
        <v>1</v>
      </c>
      <c r="C1" s="22" t="s">
        <v>26</v>
      </c>
      <c r="D1" s="22">
        <v>12.28</v>
      </c>
      <c r="E1" s="15">
        <v>61.6</v>
      </c>
      <c r="F1" s="16">
        <v>61.6</v>
      </c>
      <c r="I1" s="18">
        <v>1</v>
      </c>
      <c r="J1" s="18" t="s">
        <v>26</v>
      </c>
      <c r="K1" s="18">
        <v>101.4</v>
      </c>
    </row>
    <row r="2" spans="1:11" x14ac:dyDescent="0.25">
      <c r="A2" s="17" t="s">
        <v>30</v>
      </c>
      <c r="B2" s="18">
        <v>110</v>
      </c>
      <c r="C2" s="23" t="s">
        <v>34</v>
      </c>
      <c r="D2" s="23">
        <v>61.6</v>
      </c>
      <c r="E2" s="18">
        <v>12.28</v>
      </c>
      <c r="F2" s="19">
        <v>1350.8</v>
      </c>
      <c r="I2" s="15">
        <v>377.8</v>
      </c>
      <c r="J2" s="15" t="s">
        <v>34</v>
      </c>
      <c r="K2" s="15">
        <v>13.69</v>
      </c>
    </row>
    <row r="3" spans="1:11" x14ac:dyDescent="0.25">
      <c r="A3" s="5" t="s">
        <v>42</v>
      </c>
      <c r="B3" s="15">
        <v>1</v>
      </c>
      <c r="C3" s="22" t="s">
        <v>26</v>
      </c>
      <c r="D3" s="22">
        <v>12.28</v>
      </c>
      <c r="E3" s="15">
        <v>307.04000000000002</v>
      </c>
      <c r="F3" s="16">
        <v>307.04000000000002</v>
      </c>
      <c r="I3" s="18">
        <v>1</v>
      </c>
      <c r="J3" s="18" t="s">
        <v>26</v>
      </c>
      <c r="K3" s="18">
        <v>109.2</v>
      </c>
    </row>
    <row r="4" spans="1:11" x14ac:dyDescent="0.25">
      <c r="A4" s="17" t="s">
        <v>30</v>
      </c>
      <c r="B4" s="18">
        <v>430</v>
      </c>
      <c r="C4" s="23" t="s">
        <v>34</v>
      </c>
      <c r="D4" s="23">
        <v>307.04000000000002</v>
      </c>
      <c r="E4" s="18">
        <v>12.28</v>
      </c>
      <c r="F4" s="19">
        <v>5280.4</v>
      </c>
      <c r="I4" s="15">
        <v>257.89999999999998</v>
      </c>
      <c r="J4" s="15" t="s">
        <v>34</v>
      </c>
      <c r="K4" s="15">
        <v>13.69</v>
      </c>
    </row>
    <row r="5" spans="1:11" x14ac:dyDescent="0.25">
      <c r="A5" s="5" t="s">
        <v>42</v>
      </c>
      <c r="B5" s="15">
        <v>1</v>
      </c>
      <c r="C5" s="22" t="s">
        <v>26</v>
      </c>
      <c r="D5" s="22">
        <v>12.28</v>
      </c>
      <c r="E5" s="15">
        <v>496.58</v>
      </c>
      <c r="F5" s="16">
        <v>496.58</v>
      </c>
      <c r="I5" s="18">
        <v>1</v>
      </c>
      <c r="J5" s="18" t="s">
        <v>26</v>
      </c>
      <c r="K5" s="18">
        <v>184.8</v>
      </c>
    </row>
    <row r="6" spans="1:11" x14ac:dyDescent="0.25">
      <c r="A6" s="17" t="s">
        <v>30</v>
      </c>
      <c r="B6" s="18">
        <v>495</v>
      </c>
      <c r="C6" s="23" t="s">
        <v>34</v>
      </c>
      <c r="D6" s="23">
        <v>496.58</v>
      </c>
      <c r="E6" s="18">
        <v>12.28</v>
      </c>
      <c r="F6" s="19">
        <v>6078.5999999999995</v>
      </c>
      <c r="I6" s="15">
        <v>250</v>
      </c>
      <c r="J6" s="15" t="s">
        <v>34</v>
      </c>
      <c r="K6" s="15">
        <v>13.69</v>
      </c>
    </row>
    <row r="7" spans="1:11" x14ac:dyDescent="0.25">
      <c r="A7" s="5" t="s">
        <v>42</v>
      </c>
      <c r="B7" s="15">
        <v>1</v>
      </c>
      <c r="C7" s="22" t="s">
        <v>26</v>
      </c>
      <c r="D7" s="22">
        <v>12.28</v>
      </c>
      <c r="E7" s="15">
        <v>114.85</v>
      </c>
      <c r="F7" s="16">
        <v>114.85</v>
      </c>
      <c r="I7" s="18">
        <v>251.5</v>
      </c>
      <c r="J7" s="18" t="s">
        <v>34</v>
      </c>
      <c r="K7" s="18">
        <v>13.69</v>
      </c>
    </row>
    <row r="8" spans="1:11" x14ac:dyDescent="0.25">
      <c r="A8" s="17" t="s">
        <v>30</v>
      </c>
      <c r="B8" s="18">
        <v>285</v>
      </c>
      <c r="C8" s="23" t="s">
        <v>34</v>
      </c>
      <c r="D8" s="23">
        <v>114.85</v>
      </c>
      <c r="E8" s="18">
        <v>12.28</v>
      </c>
      <c r="F8" s="19">
        <v>3499.7999999999997</v>
      </c>
      <c r="I8" s="15">
        <v>1</v>
      </c>
      <c r="J8" s="15" t="s">
        <v>26</v>
      </c>
      <c r="K8" s="15">
        <v>184.8</v>
      </c>
    </row>
    <row r="9" spans="1:11" x14ac:dyDescent="0.25">
      <c r="A9" s="5" t="s">
        <v>42</v>
      </c>
      <c r="B9" s="15">
        <v>1</v>
      </c>
      <c r="C9" s="22" t="s">
        <v>26</v>
      </c>
      <c r="D9" s="22">
        <v>12.28</v>
      </c>
      <c r="E9" s="15">
        <v>166.91</v>
      </c>
      <c r="F9" s="16">
        <v>166.91</v>
      </c>
      <c r="I9" s="18">
        <v>250</v>
      </c>
      <c r="J9" s="18" t="s">
        <v>34</v>
      </c>
      <c r="K9" s="18">
        <v>12.28</v>
      </c>
    </row>
    <row r="10" spans="1:11" x14ac:dyDescent="0.25">
      <c r="A10" s="17" t="s">
        <v>30</v>
      </c>
      <c r="B10" s="18">
        <v>283</v>
      </c>
      <c r="C10" s="23" t="s">
        <v>34</v>
      </c>
      <c r="D10" s="23">
        <v>166.9</v>
      </c>
      <c r="E10" s="18">
        <v>12.28</v>
      </c>
      <c r="F10" s="19">
        <v>3475.24</v>
      </c>
      <c r="I10" s="15">
        <v>1</v>
      </c>
      <c r="J10" s="15" t="s">
        <v>26</v>
      </c>
      <c r="K10" s="15">
        <v>98.8</v>
      </c>
    </row>
    <row r="11" spans="1:11" x14ac:dyDescent="0.25">
      <c r="A11" s="5" t="s">
        <v>42</v>
      </c>
      <c r="B11" s="15">
        <v>1</v>
      </c>
      <c r="C11" s="22" t="s">
        <v>26</v>
      </c>
      <c r="D11" s="22">
        <v>12.28</v>
      </c>
      <c r="E11" s="15">
        <v>358.59</v>
      </c>
      <c r="F11" s="16">
        <v>358.59</v>
      </c>
      <c r="I11" s="18">
        <v>356</v>
      </c>
      <c r="J11" s="18" t="s">
        <v>34</v>
      </c>
      <c r="K11" s="18">
        <v>12.28</v>
      </c>
    </row>
    <row r="12" spans="1:11" x14ac:dyDescent="0.25">
      <c r="A12" s="17" t="s">
        <v>30</v>
      </c>
      <c r="B12" s="18">
        <v>374</v>
      </c>
      <c r="C12" s="23" t="s">
        <v>34</v>
      </c>
      <c r="D12" s="23">
        <v>358.59</v>
      </c>
      <c r="E12" s="18">
        <v>12.28</v>
      </c>
      <c r="F12" s="19">
        <v>4592.7199999999993</v>
      </c>
      <c r="I12" s="15">
        <v>1</v>
      </c>
      <c r="J12" s="15" t="s">
        <v>26</v>
      </c>
      <c r="K12" s="15">
        <v>225.6</v>
      </c>
    </row>
    <row r="13" spans="1:11" x14ac:dyDescent="0.25">
      <c r="A13" s="5" t="s">
        <v>42</v>
      </c>
      <c r="B13" s="15">
        <v>1</v>
      </c>
      <c r="C13" s="22" t="s">
        <v>26</v>
      </c>
      <c r="D13" s="22">
        <v>12.28</v>
      </c>
      <c r="E13" s="15">
        <v>358.59</v>
      </c>
      <c r="F13" s="16">
        <v>358.59</v>
      </c>
      <c r="I13" s="18">
        <v>125</v>
      </c>
      <c r="J13" s="18" t="s">
        <v>34</v>
      </c>
      <c r="K13" s="18">
        <v>12.28</v>
      </c>
    </row>
    <row r="14" spans="1:11" x14ac:dyDescent="0.25">
      <c r="A14" s="17" t="s">
        <v>30</v>
      </c>
      <c r="B14" s="18">
        <v>357</v>
      </c>
      <c r="C14" s="23" t="s">
        <v>34</v>
      </c>
      <c r="D14" s="23">
        <v>358.59</v>
      </c>
      <c r="E14" s="18">
        <v>12.28</v>
      </c>
      <c r="F14" s="19">
        <v>4383.96</v>
      </c>
      <c r="I14" s="15">
        <v>125</v>
      </c>
      <c r="J14" s="15" t="s">
        <v>34</v>
      </c>
      <c r="K14" s="15">
        <v>12.28</v>
      </c>
    </row>
    <row r="15" spans="1:11" x14ac:dyDescent="0.25">
      <c r="A15" s="5" t="s">
        <v>42</v>
      </c>
      <c r="B15" s="15">
        <v>1</v>
      </c>
      <c r="C15" s="22" t="s">
        <v>26</v>
      </c>
      <c r="D15" s="22">
        <v>12.28</v>
      </c>
      <c r="E15" s="15">
        <v>572.67999999999995</v>
      </c>
      <c r="F15" s="16">
        <v>572.67999999999995</v>
      </c>
      <c r="I15" s="18">
        <v>125</v>
      </c>
      <c r="J15" s="18" t="s">
        <v>34</v>
      </c>
      <c r="K15" s="18">
        <v>12.28</v>
      </c>
    </row>
    <row r="16" spans="1:11" x14ac:dyDescent="0.25">
      <c r="A16" s="17" t="s">
        <v>30</v>
      </c>
      <c r="B16" s="18">
        <v>537</v>
      </c>
      <c r="C16" s="23" t="s">
        <v>34</v>
      </c>
      <c r="D16" s="23">
        <v>572.67999999999995</v>
      </c>
      <c r="E16" s="18">
        <v>12.28</v>
      </c>
      <c r="F16" s="19">
        <v>6594.36</v>
      </c>
      <c r="I16" s="15">
        <v>125</v>
      </c>
      <c r="J16" s="15" t="s">
        <v>34</v>
      </c>
      <c r="K16" s="15">
        <v>12.28</v>
      </c>
    </row>
    <row r="17" spans="1:11" x14ac:dyDescent="0.25">
      <c r="A17" s="5" t="s">
        <v>42</v>
      </c>
      <c r="B17" s="15">
        <v>1</v>
      </c>
      <c r="C17" s="22" t="s">
        <v>26</v>
      </c>
      <c r="D17" s="22">
        <v>12.28</v>
      </c>
      <c r="E17" s="15">
        <v>188.9</v>
      </c>
      <c r="F17" s="16">
        <f>Table4[[#This Row],[QTD]]*Table4[[#This Row],[VALUE]]</f>
        <v>17260.508999999998</v>
      </c>
      <c r="I17" s="18">
        <v>357</v>
      </c>
      <c r="J17" s="18" t="s">
        <v>34</v>
      </c>
      <c r="K17" s="18">
        <v>12.28</v>
      </c>
    </row>
    <row r="18" spans="1:11" x14ac:dyDescent="0.25">
      <c r="A18" s="17" t="s">
        <v>30</v>
      </c>
      <c r="B18" s="18">
        <v>334</v>
      </c>
      <c r="C18" s="23" t="s">
        <v>34</v>
      </c>
      <c r="D18" s="23">
        <v>188.9</v>
      </c>
      <c r="E18" s="18">
        <v>12.28</v>
      </c>
      <c r="F18" s="19">
        <f>Table4[[#This Row],[QTD]]*Table4[[#This Row],[VALUE]]</f>
        <v>1827.8</v>
      </c>
    </row>
    <row r="19" spans="1:11" x14ac:dyDescent="0.25">
      <c r="A19" s="5" t="s">
        <v>42</v>
      </c>
      <c r="B19" s="20">
        <v>1</v>
      </c>
      <c r="C19" s="22" t="s">
        <v>26</v>
      </c>
      <c r="D19" s="22">
        <v>13.69</v>
      </c>
      <c r="E19" s="15">
        <v>492</v>
      </c>
      <c r="F19" s="16">
        <f>Table4[[#This Row],[QTD]]*Table4[[#This Row],[VALUE]]</f>
        <v>5528.4179999999997</v>
      </c>
    </row>
    <row r="20" spans="1:11" x14ac:dyDescent="0.25">
      <c r="A20" s="17" t="s">
        <v>30</v>
      </c>
      <c r="B20" s="21">
        <v>405.4</v>
      </c>
      <c r="C20" s="23" t="s">
        <v>34</v>
      </c>
      <c r="D20" s="23">
        <v>492</v>
      </c>
      <c r="E20" s="18">
        <v>13.69</v>
      </c>
      <c r="F20" s="19">
        <f>Table4[[#This Row],[QTD]]*Table4[[#This Row],[VALUE]]</f>
        <v>346.17</v>
      </c>
    </row>
    <row r="21" spans="1:11" x14ac:dyDescent="0.25">
      <c r="A21" s="5" t="s">
        <v>42</v>
      </c>
      <c r="B21" s="15">
        <v>1</v>
      </c>
      <c r="C21" s="22" t="s">
        <v>26</v>
      </c>
      <c r="D21" s="22">
        <v>12.28</v>
      </c>
      <c r="E21" s="15">
        <v>61.6</v>
      </c>
      <c r="F21" s="16">
        <f>Table4[[#This Row],[QTD]]*Table4[[#This Row],[VALUE]]</f>
        <v>3097.5</v>
      </c>
    </row>
    <row r="22" spans="1:11" x14ac:dyDescent="0.25">
      <c r="A22" s="17" t="s">
        <v>30</v>
      </c>
      <c r="B22" s="18">
        <v>110</v>
      </c>
      <c r="C22" s="23" t="s">
        <v>34</v>
      </c>
      <c r="D22" s="23">
        <v>61.6</v>
      </c>
      <c r="E22" s="18">
        <v>12.28</v>
      </c>
      <c r="F22" s="19">
        <f>Table4[[#This Row],[QTD]]*Table4[[#This Row],[VALUE]]</f>
        <v>5238.4920000000002</v>
      </c>
    </row>
    <row r="23" spans="1:11" x14ac:dyDescent="0.25">
      <c r="A23" s="5" t="s">
        <v>42</v>
      </c>
      <c r="B23" s="15">
        <v>1</v>
      </c>
      <c r="C23" s="22" t="s">
        <v>26</v>
      </c>
      <c r="D23" s="22">
        <v>12.28</v>
      </c>
      <c r="E23" s="15">
        <v>307.04000000000002</v>
      </c>
      <c r="F23" s="16">
        <f>Table4[[#This Row],[QTD]]*Table4[[#This Row],[VALUE]]</f>
        <v>288.12</v>
      </c>
    </row>
    <row r="24" spans="1:11" x14ac:dyDescent="0.25">
      <c r="A24" s="17" t="s">
        <v>30</v>
      </c>
      <c r="B24" s="18">
        <v>430</v>
      </c>
      <c r="C24" s="23" t="s">
        <v>34</v>
      </c>
      <c r="D24" s="23">
        <v>307.04000000000002</v>
      </c>
      <c r="E24" s="18">
        <v>12.28</v>
      </c>
      <c r="F24" s="19">
        <f>Table4[[#This Row],[QTD]]*Table4[[#This Row],[VALUE]]</f>
        <v>3097.5</v>
      </c>
    </row>
    <row r="25" spans="1:11" x14ac:dyDescent="0.25">
      <c r="A25" s="5" t="s">
        <v>42</v>
      </c>
      <c r="B25" s="15">
        <v>1</v>
      </c>
      <c r="C25" s="22" t="s">
        <v>26</v>
      </c>
      <c r="D25" s="22">
        <v>12.28</v>
      </c>
      <c r="E25" s="15">
        <v>496.58</v>
      </c>
      <c r="F25" s="16">
        <f>Table4[[#This Row],[QTD]]*Table4[[#This Row],[VALUE]]</f>
        <v>3696.2799999999997</v>
      </c>
    </row>
    <row r="26" spans="1:11" x14ac:dyDescent="0.25">
      <c r="A26" s="17" t="s">
        <v>30</v>
      </c>
      <c r="B26" s="18">
        <v>495</v>
      </c>
      <c r="C26" s="23" t="s">
        <v>34</v>
      </c>
      <c r="D26" s="23">
        <v>496.58</v>
      </c>
      <c r="E26" s="18">
        <v>12.28</v>
      </c>
      <c r="F26" s="19">
        <f>Table4[[#This Row],[QTD]]*Table4[[#This Row],[VALUE]]</f>
        <v>171.8</v>
      </c>
    </row>
    <row r="27" spans="1:11" x14ac:dyDescent="0.25">
      <c r="A27" s="5" t="s">
        <v>42</v>
      </c>
      <c r="B27" s="15">
        <v>1</v>
      </c>
      <c r="C27" s="22" t="s">
        <v>26</v>
      </c>
      <c r="D27" s="22">
        <v>12.28</v>
      </c>
      <c r="E27" s="15">
        <v>114.85</v>
      </c>
      <c r="F27" s="16">
        <f>Table4[[#This Row],[QTD]]*Table4[[#This Row],[VALUE]]</f>
        <v>3070</v>
      </c>
    </row>
    <row r="28" spans="1:11" x14ac:dyDescent="0.25">
      <c r="A28" s="17" t="s">
        <v>30</v>
      </c>
      <c r="B28" s="18">
        <v>285</v>
      </c>
      <c r="C28" s="23" t="s">
        <v>34</v>
      </c>
      <c r="D28" s="23">
        <v>114.85</v>
      </c>
      <c r="E28" s="18">
        <v>12.28</v>
      </c>
      <c r="F28" s="19">
        <f>Table4[[#This Row],[QTD]]*Table4[[#This Row],[VALUE]]</f>
        <v>176.03</v>
      </c>
    </row>
    <row r="29" spans="1:11" x14ac:dyDescent="0.25">
      <c r="A29" s="5" t="s">
        <v>42</v>
      </c>
      <c r="B29" s="15">
        <v>1</v>
      </c>
      <c r="C29" s="22" t="s">
        <v>26</v>
      </c>
      <c r="D29" s="22">
        <v>12.28</v>
      </c>
      <c r="E29" s="15">
        <v>166.91</v>
      </c>
      <c r="F29" s="16">
        <f>Table4[[#This Row],[QTD]]*Table4[[#This Row],[VALUE]]</f>
        <v>641.8125</v>
      </c>
    </row>
    <row r="30" spans="1:11" x14ac:dyDescent="0.25">
      <c r="A30" s="17" t="s">
        <v>30</v>
      </c>
      <c r="B30" s="18">
        <v>283</v>
      </c>
      <c r="C30" s="23" t="s">
        <v>34</v>
      </c>
      <c r="D30" s="23">
        <v>166.91</v>
      </c>
      <c r="E30" s="18">
        <v>12.28</v>
      </c>
      <c r="F30" s="19">
        <f>Table4[[#This Row],[QTD]]*Table4[[#This Row],[VALUE]]</f>
        <v>6815.4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87AE9-3BA3-4E77-95DB-6AEC5C50592E}">
  <dimension ref="A1:AQ13"/>
  <sheetViews>
    <sheetView workbookViewId="0">
      <selection activeCell="I15" sqref="I15"/>
    </sheetView>
  </sheetViews>
  <sheetFormatPr defaultRowHeight="15" x14ac:dyDescent="0.25"/>
  <cols>
    <col min="7" max="7" width="20" bestFit="1" customWidth="1"/>
    <col min="9" max="9" width="31.42578125" bestFit="1" customWidth="1"/>
    <col min="10" max="10" width="45.42578125" bestFit="1" customWidth="1"/>
  </cols>
  <sheetData>
    <row r="1" spans="1:43" x14ac:dyDescent="0.25">
      <c r="A1" t="s">
        <v>353</v>
      </c>
    </row>
    <row r="3" spans="1:43" s="14" customFormat="1" ht="12" x14ac:dyDescent="0.2">
      <c r="A3" s="7"/>
      <c r="B3" s="8">
        <v>373</v>
      </c>
      <c r="C3" s="9">
        <v>45428</v>
      </c>
      <c r="D3" s="10">
        <v>45352</v>
      </c>
      <c r="E3" s="11" t="s">
        <v>41</v>
      </c>
      <c r="F3" s="11" t="s">
        <v>57</v>
      </c>
      <c r="G3" s="11" t="s">
        <v>29</v>
      </c>
      <c r="H3" s="11">
        <v>1000287</v>
      </c>
      <c r="I3" s="11" t="s">
        <v>30</v>
      </c>
      <c r="J3" s="11" t="s">
        <v>341</v>
      </c>
      <c r="K3" s="11"/>
      <c r="L3" s="11" t="s">
        <v>222</v>
      </c>
      <c r="M3" s="11">
        <v>7901</v>
      </c>
      <c r="N3" s="11">
        <v>371065</v>
      </c>
      <c r="O3" s="11"/>
      <c r="P3" s="12">
        <v>9</v>
      </c>
      <c r="Q3" s="12" t="s">
        <v>26</v>
      </c>
      <c r="R3" s="12">
        <v>321.8</v>
      </c>
      <c r="S3" s="13">
        <v>2896.2000000000003</v>
      </c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</row>
    <row r="4" spans="1:43" s="14" customFormat="1" ht="12" x14ac:dyDescent="0.2">
      <c r="A4" s="7"/>
      <c r="B4" s="8">
        <v>374</v>
      </c>
      <c r="C4" s="9">
        <v>45428</v>
      </c>
      <c r="D4" s="10">
        <v>45352</v>
      </c>
      <c r="E4" s="11" t="s">
        <v>27</v>
      </c>
      <c r="F4" s="11" t="s">
        <v>57</v>
      </c>
      <c r="G4" s="11" t="s">
        <v>29</v>
      </c>
      <c r="H4" s="11">
        <v>1000238</v>
      </c>
      <c r="I4" s="11" t="s">
        <v>42</v>
      </c>
      <c r="J4" s="11" t="s">
        <v>342</v>
      </c>
      <c r="K4" s="11">
        <v>4019</v>
      </c>
      <c r="L4" s="11" t="s">
        <v>355</v>
      </c>
      <c r="M4" s="11"/>
      <c r="N4" s="11">
        <v>371065</v>
      </c>
      <c r="O4" s="11"/>
      <c r="P4" s="12">
        <v>410.2</v>
      </c>
      <c r="Q4" s="12" t="s">
        <v>34</v>
      </c>
      <c r="R4" s="12">
        <v>13.69</v>
      </c>
      <c r="S4" s="13">
        <v>5615.6379999999999</v>
      </c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</row>
    <row r="5" spans="1:43" s="14" customFormat="1" ht="12" x14ac:dyDescent="0.2">
      <c r="A5" s="7"/>
      <c r="B5" s="8">
        <v>375</v>
      </c>
      <c r="C5" s="9">
        <v>45428</v>
      </c>
      <c r="D5" s="10">
        <v>45352</v>
      </c>
      <c r="E5" s="11" t="s">
        <v>41</v>
      </c>
      <c r="F5" s="11" t="s">
        <v>57</v>
      </c>
      <c r="G5" s="11" t="s">
        <v>29</v>
      </c>
      <c r="H5" s="11">
        <v>1000287</v>
      </c>
      <c r="I5" s="11" t="s">
        <v>30</v>
      </c>
      <c r="J5" s="11" t="s">
        <v>341</v>
      </c>
      <c r="K5" s="11"/>
      <c r="L5" s="11" t="s">
        <v>222</v>
      </c>
      <c r="M5" s="11">
        <v>7901</v>
      </c>
      <c r="N5" s="11">
        <v>371065</v>
      </c>
      <c r="O5" s="11"/>
      <c r="P5" s="12">
        <v>1</v>
      </c>
      <c r="Q5" s="12" t="s">
        <v>26</v>
      </c>
      <c r="R5" s="12">
        <v>241.6</v>
      </c>
      <c r="S5" s="13">
        <v>241.6</v>
      </c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s="14" customFormat="1" ht="12" x14ac:dyDescent="0.2">
      <c r="A6" s="7"/>
      <c r="B6" s="8">
        <v>376</v>
      </c>
      <c r="C6" s="9">
        <v>45428</v>
      </c>
      <c r="D6" s="10">
        <v>45352</v>
      </c>
      <c r="E6" s="11" t="s">
        <v>27</v>
      </c>
      <c r="F6" s="11" t="s">
        <v>57</v>
      </c>
      <c r="G6" s="11" t="s">
        <v>29</v>
      </c>
      <c r="H6" s="11">
        <v>1000238</v>
      </c>
      <c r="I6" s="11" t="s">
        <v>42</v>
      </c>
      <c r="J6" s="11" t="s">
        <v>342</v>
      </c>
      <c r="K6" s="11">
        <v>4019</v>
      </c>
      <c r="L6" s="11" t="s">
        <v>355</v>
      </c>
      <c r="M6" s="11"/>
      <c r="N6" s="11">
        <v>371065</v>
      </c>
      <c r="O6" s="11"/>
      <c r="P6" s="12">
        <v>500</v>
      </c>
      <c r="Q6" s="12" t="s">
        <v>34</v>
      </c>
      <c r="R6" s="12">
        <v>13.69</v>
      </c>
      <c r="S6" s="13">
        <v>6845</v>
      </c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</row>
    <row r="7" spans="1:43" s="14" customFormat="1" ht="12" x14ac:dyDescent="0.2">
      <c r="A7" s="7"/>
      <c r="B7" s="8">
        <v>379</v>
      </c>
      <c r="C7" s="9">
        <v>45429</v>
      </c>
      <c r="D7" s="10">
        <v>45352</v>
      </c>
      <c r="E7" s="11" t="s">
        <v>41</v>
      </c>
      <c r="F7" s="11" t="s">
        <v>57</v>
      </c>
      <c r="G7" s="11" t="s">
        <v>29</v>
      </c>
      <c r="H7" s="11">
        <v>1000287</v>
      </c>
      <c r="I7" s="11" t="s">
        <v>30</v>
      </c>
      <c r="J7" s="11" t="s">
        <v>345</v>
      </c>
      <c r="K7" s="11"/>
      <c r="L7" s="11" t="s">
        <v>222</v>
      </c>
      <c r="M7" s="11">
        <v>7901</v>
      </c>
      <c r="N7" s="11">
        <v>371065</v>
      </c>
      <c r="O7" s="11"/>
      <c r="P7" s="12">
        <v>9</v>
      </c>
      <c r="Q7" s="12" t="s">
        <v>26</v>
      </c>
      <c r="R7" s="12">
        <v>321.8</v>
      </c>
      <c r="S7" s="13">
        <v>2896.2000000000003</v>
      </c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</row>
    <row r="8" spans="1:43" s="14" customFormat="1" ht="12" x14ac:dyDescent="0.2">
      <c r="A8" s="7"/>
      <c r="B8" s="8">
        <v>380</v>
      </c>
      <c r="C8" s="9">
        <v>45429</v>
      </c>
      <c r="D8" s="10">
        <v>45352</v>
      </c>
      <c r="E8" s="11" t="s">
        <v>27</v>
      </c>
      <c r="F8" s="11" t="s">
        <v>57</v>
      </c>
      <c r="G8" s="11" t="s">
        <v>29</v>
      </c>
      <c r="H8" s="11">
        <v>1000238</v>
      </c>
      <c r="I8" s="11" t="s">
        <v>42</v>
      </c>
      <c r="J8" s="11" t="s">
        <v>346</v>
      </c>
      <c r="K8" s="11">
        <v>4016</v>
      </c>
      <c r="L8" s="11" t="s">
        <v>63</v>
      </c>
      <c r="M8" s="11"/>
      <c r="N8" s="11">
        <v>371065</v>
      </c>
      <c r="O8" s="11"/>
      <c r="P8" s="12">
        <v>649.9</v>
      </c>
      <c r="Q8" s="12" t="s">
        <v>34</v>
      </c>
      <c r="R8" s="12">
        <v>13.69</v>
      </c>
      <c r="S8" s="13">
        <v>8897.1309999999994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</row>
    <row r="9" spans="1:43" s="14" customFormat="1" ht="12" x14ac:dyDescent="0.2">
      <c r="A9" s="7"/>
      <c r="B9" s="8">
        <v>381</v>
      </c>
      <c r="C9" s="9">
        <v>45429</v>
      </c>
      <c r="D9" s="10">
        <v>45352</v>
      </c>
      <c r="E9" s="11" t="s">
        <v>41</v>
      </c>
      <c r="F9" s="11" t="s">
        <v>57</v>
      </c>
      <c r="G9" s="11" t="s">
        <v>29</v>
      </c>
      <c r="H9" s="11">
        <v>1000287</v>
      </c>
      <c r="I9" s="11" t="s">
        <v>30</v>
      </c>
      <c r="J9" s="11" t="s">
        <v>345</v>
      </c>
      <c r="K9" s="11"/>
      <c r="L9" s="11" t="s">
        <v>222</v>
      </c>
      <c r="M9" s="11">
        <v>7901</v>
      </c>
      <c r="N9" s="11">
        <v>371065</v>
      </c>
      <c r="O9" s="11"/>
      <c r="P9" s="12">
        <v>1</v>
      </c>
      <c r="Q9" s="12" t="s">
        <v>26</v>
      </c>
      <c r="R9" s="12">
        <v>139.80000000000001</v>
      </c>
      <c r="S9" s="13">
        <v>139.80000000000001</v>
      </c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s="14" customFormat="1" ht="12" x14ac:dyDescent="0.2">
      <c r="A10" s="7"/>
      <c r="B10" s="8">
        <v>382</v>
      </c>
      <c r="C10" s="9">
        <v>45429</v>
      </c>
      <c r="D10" s="10">
        <v>45352</v>
      </c>
      <c r="E10" s="11" t="s">
        <v>27</v>
      </c>
      <c r="F10" s="11" t="s">
        <v>57</v>
      </c>
      <c r="G10" s="11" t="s">
        <v>29</v>
      </c>
      <c r="H10" s="11">
        <v>1000238</v>
      </c>
      <c r="I10" s="11" t="s">
        <v>42</v>
      </c>
      <c r="J10" s="11" t="s">
        <v>346</v>
      </c>
      <c r="K10" s="11">
        <v>4016</v>
      </c>
      <c r="L10" s="11" t="s">
        <v>63</v>
      </c>
      <c r="M10" s="11"/>
      <c r="N10" s="11">
        <v>371065</v>
      </c>
      <c r="O10" s="11"/>
      <c r="P10" s="12">
        <v>500</v>
      </c>
      <c r="Q10" s="12" t="s">
        <v>34</v>
      </c>
      <c r="R10" s="12">
        <v>13.69</v>
      </c>
      <c r="S10" s="13">
        <v>6845</v>
      </c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</row>
    <row r="11" spans="1:43" s="14" customFormat="1" ht="12" x14ac:dyDescent="0.2">
      <c r="A11" s="7"/>
      <c r="B11" s="8">
        <v>383</v>
      </c>
      <c r="C11" s="9">
        <v>45434</v>
      </c>
      <c r="D11" s="10">
        <v>45413</v>
      </c>
      <c r="E11" s="11" t="s">
        <v>41</v>
      </c>
      <c r="F11" s="11" t="s">
        <v>57</v>
      </c>
      <c r="G11" s="11" t="s">
        <v>29</v>
      </c>
      <c r="H11" s="11">
        <v>1000287</v>
      </c>
      <c r="I11" s="11" t="s">
        <v>42</v>
      </c>
      <c r="J11" s="11" t="s">
        <v>346</v>
      </c>
      <c r="K11" s="11"/>
      <c r="L11" s="11" t="s">
        <v>222</v>
      </c>
      <c r="M11" s="11">
        <v>7901</v>
      </c>
      <c r="N11" s="11">
        <v>371065</v>
      </c>
      <c r="O11" s="11"/>
      <c r="P11" s="12">
        <v>280.10000000000002</v>
      </c>
      <c r="Q11" s="12" t="s">
        <v>34</v>
      </c>
      <c r="R11" s="12">
        <v>13.69</v>
      </c>
      <c r="S11" s="13">
        <v>3834.569</v>
      </c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s="14" customFormat="1" ht="12" x14ac:dyDescent="0.2">
      <c r="A12" s="7"/>
      <c r="B12" s="8">
        <v>384</v>
      </c>
      <c r="C12" s="9">
        <v>45434</v>
      </c>
      <c r="D12" s="10">
        <v>45413</v>
      </c>
      <c r="E12" s="11" t="s">
        <v>27</v>
      </c>
      <c r="F12" s="11" t="s">
        <v>57</v>
      </c>
      <c r="G12" s="11" t="s">
        <v>29</v>
      </c>
      <c r="H12" s="11">
        <v>1000238</v>
      </c>
      <c r="I12" s="11" t="s">
        <v>42</v>
      </c>
      <c r="J12" s="11" t="s">
        <v>346</v>
      </c>
      <c r="K12" s="11">
        <v>4016</v>
      </c>
      <c r="L12" s="11" t="s">
        <v>63</v>
      </c>
      <c r="M12" s="11"/>
      <c r="N12" s="11">
        <v>371065</v>
      </c>
      <c r="O12" s="11"/>
      <c r="P12" s="12">
        <v>500</v>
      </c>
      <c r="Q12" s="12" t="s">
        <v>34</v>
      </c>
      <c r="R12" s="12">
        <v>13.69</v>
      </c>
      <c r="S12" s="13">
        <v>6845</v>
      </c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s="14" customFormat="1" ht="12" x14ac:dyDescent="0.2">
      <c r="A13" s="7"/>
      <c r="B13" s="8">
        <v>385</v>
      </c>
      <c r="C13" s="9">
        <v>45434</v>
      </c>
      <c r="D13" s="10">
        <v>45413</v>
      </c>
      <c r="E13" s="11" t="s">
        <v>27</v>
      </c>
      <c r="F13" s="11" t="s">
        <v>57</v>
      </c>
      <c r="G13" s="11" t="s">
        <v>29</v>
      </c>
      <c r="H13" s="11">
        <v>1000238</v>
      </c>
      <c r="I13" s="11" t="s">
        <v>30</v>
      </c>
      <c r="J13" s="11" t="s">
        <v>345</v>
      </c>
      <c r="K13" s="11"/>
      <c r="L13" s="11" t="s">
        <v>222</v>
      </c>
      <c r="M13" s="11">
        <v>7901</v>
      </c>
      <c r="N13" s="11">
        <v>371065</v>
      </c>
      <c r="O13" s="11"/>
      <c r="P13" s="12">
        <v>1</v>
      </c>
      <c r="Q13" s="12" t="s">
        <v>26</v>
      </c>
      <c r="R13" s="12">
        <v>266.7</v>
      </c>
      <c r="S13" s="13">
        <v>266.7</v>
      </c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E7EA90-95C5-4CE8-B887-E91145D5C8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TOTAL (PRANCHA)</vt:lpstr>
      <vt:lpstr>Planilha3</vt:lpstr>
      <vt:lpstr>Sheet1</vt:lpstr>
      <vt:lpstr>Planilha7</vt:lpstr>
      <vt:lpstr>Sheet1 (2)</vt:lpstr>
      <vt:lpstr>Planilha2</vt:lpstr>
      <vt:lpstr>Planilha1</vt:lpstr>
    </vt:vector>
  </TitlesOfParts>
  <Company>BRACELL CELULOSE 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Giovani Santos Pontes Maciel</dc:creator>
  <cp:lastModifiedBy>Luana Ferreira Mesquita</cp:lastModifiedBy>
  <cp:lastPrinted>2025-05-14T14:59:45Z</cp:lastPrinted>
  <dcterms:created xsi:type="dcterms:W3CDTF">2024-05-21T13:32:25Z</dcterms:created>
  <dcterms:modified xsi:type="dcterms:W3CDTF">2025-05-14T17:25:30Z</dcterms:modified>
</cp:coreProperties>
</file>